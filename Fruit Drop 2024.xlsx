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s86\OneDrive - Cornell University\Desktop\Consulting Clients\MichelleHeck\Grove First Project\Analysis Data\"/>
    </mc:Choice>
  </mc:AlternateContent>
  <xr:revisionPtr revIDLastSave="0" documentId="13_ncr:1_{238100B8-A297-421F-A39E-E385F96B793D}" xr6:coauthVersionLast="47" xr6:coauthVersionMax="47" xr10:uidLastSave="{00000000-0000-0000-0000-000000000000}"/>
  <bookViews>
    <workbookView xWindow="29205" yWindow="255" windowWidth="21600" windowHeight="11325" xr2:uid="{F7A23EFD-6D07-4AE0-88A7-FA185CEE2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5" i="1" l="1"/>
  <c r="J264" i="1"/>
  <c r="J263" i="1"/>
  <c r="L263" i="1" s="1"/>
  <c r="M263" i="1" s="1"/>
  <c r="J262" i="1"/>
  <c r="J261" i="1"/>
  <c r="J260" i="1"/>
  <c r="J259" i="1"/>
  <c r="L259" i="1" s="1"/>
  <c r="J258" i="1"/>
  <c r="J257" i="1"/>
  <c r="J256" i="1"/>
  <c r="J255" i="1"/>
  <c r="L255" i="1" s="1"/>
  <c r="M255" i="1" s="1"/>
  <c r="J254" i="1"/>
  <c r="J253" i="1"/>
  <c r="J252" i="1"/>
  <c r="L252" i="1" s="1"/>
  <c r="M252" i="1" s="1"/>
  <c r="J251" i="1"/>
  <c r="J250" i="1"/>
  <c r="J249" i="1"/>
  <c r="J248" i="1"/>
  <c r="J247" i="1"/>
  <c r="L247" i="1" s="1"/>
  <c r="M247" i="1" s="1"/>
  <c r="J246" i="1"/>
  <c r="L246" i="1" s="1"/>
  <c r="J245" i="1"/>
  <c r="E245" i="1"/>
  <c r="J244" i="1"/>
  <c r="J243" i="1"/>
  <c r="J242" i="1"/>
  <c r="L242" i="1" s="1"/>
  <c r="M242" i="1" s="1"/>
  <c r="J241" i="1"/>
  <c r="L241" i="1" s="1"/>
  <c r="J240" i="1"/>
  <c r="J239" i="1"/>
  <c r="L239" i="1" s="1"/>
  <c r="M239" i="1" s="1"/>
  <c r="J238" i="1"/>
  <c r="L238" i="1" s="1"/>
  <c r="M238" i="1" s="1"/>
  <c r="E238" i="1"/>
  <c r="J237" i="1"/>
  <c r="L237" i="1" s="1"/>
  <c r="M237" i="1" s="1"/>
  <c r="J236" i="1"/>
  <c r="L236" i="1" s="1"/>
  <c r="M236" i="1" s="1"/>
  <c r="J235" i="1"/>
  <c r="J234" i="1"/>
  <c r="L234" i="1" s="1"/>
  <c r="M234" i="1" s="1"/>
  <c r="J233" i="1"/>
  <c r="L233" i="1" s="1"/>
  <c r="J232" i="1"/>
  <c r="J231" i="1"/>
  <c r="L231" i="1" s="1"/>
  <c r="M231" i="1" s="1"/>
  <c r="J230" i="1"/>
  <c r="J229" i="1"/>
  <c r="L229" i="1" s="1"/>
  <c r="M229" i="1" s="1"/>
  <c r="J228" i="1"/>
  <c r="L228" i="1" s="1"/>
  <c r="M228" i="1" s="1"/>
  <c r="J227" i="1"/>
  <c r="L227" i="1" s="1"/>
  <c r="J226" i="1"/>
  <c r="L226" i="1" s="1"/>
  <c r="M226" i="1" s="1"/>
  <c r="J225" i="1"/>
  <c r="J224" i="1"/>
  <c r="L223" i="1"/>
  <c r="J223" i="1"/>
  <c r="J222" i="1"/>
  <c r="J221" i="1"/>
  <c r="L221" i="1" s="1"/>
  <c r="M221" i="1" s="1"/>
  <c r="J220" i="1"/>
  <c r="J219" i="1"/>
  <c r="L219" i="1" s="1"/>
  <c r="J218" i="1"/>
  <c r="L218" i="1" s="1"/>
  <c r="M218" i="1" s="1"/>
  <c r="L217" i="1"/>
  <c r="J217" i="1"/>
  <c r="J216" i="1"/>
  <c r="J215" i="1"/>
  <c r="L215" i="1" s="1"/>
  <c r="J214" i="1"/>
  <c r="J213" i="1"/>
  <c r="L213" i="1" s="1"/>
  <c r="M213" i="1" s="1"/>
  <c r="J212" i="1"/>
  <c r="J211" i="1"/>
  <c r="L211" i="1" s="1"/>
  <c r="J210" i="1"/>
  <c r="L210" i="1" s="1"/>
  <c r="J209" i="1"/>
  <c r="E209" i="1"/>
  <c r="J208" i="1"/>
  <c r="L208" i="1" s="1"/>
  <c r="M208" i="1" s="1"/>
  <c r="J207" i="1"/>
  <c r="J206" i="1"/>
  <c r="L206" i="1" s="1"/>
  <c r="J205" i="1"/>
  <c r="L205" i="1" s="1"/>
  <c r="M205" i="1" s="1"/>
  <c r="J204" i="1"/>
  <c r="J203" i="1"/>
  <c r="J202" i="1"/>
  <c r="E202" i="1"/>
  <c r="J201" i="1"/>
  <c r="M200" i="1"/>
  <c r="J200" i="1"/>
  <c r="L200" i="1" s="1"/>
  <c r="J199" i="1"/>
  <c r="J198" i="1"/>
  <c r="J197" i="1"/>
  <c r="L197" i="1" s="1"/>
  <c r="M197" i="1" s="1"/>
  <c r="J196" i="1"/>
  <c r="J195" i="1"/>
  <c r="L195" i="1" s="1"/>
  <c r="M195" i="1" s="1"/>
  <c r="J194" i="1"/>
  <c r="E194" i="1"/>
  <c r="J193" i="1"/>
  <c r="J192" i="1"/>
  <c r="L192" i="1" s="1"/>
  <c r="J191" i="1"/>
  <c r="J190" i="1"/>
  <c r="L190" i="1" s="1"/>
  <c r="M190" i="1" s="1"/>
  <c r="J189" i="1"/>
  <c r="J188" i="1"/>
  <c r="L188" i="1" s="1"/>
  <c r="J187" i="1"/>
  <c r="L187" i="1" s="1"/>
  <c r="M187" i="1" s="1"/>
  <c r="J186" i="1"/>
  <c r="L186" i="1" s="1"/>
  <c r="J185" i="1"/>
  <c r="E185" i="1"/>
  <c r="J184" i="1"/>
  <c r="J183" i="1"/>
  <c r="J182" i="1"/>
  <c r="L182" i="1" s="1"/>
  <c r="M182" i="1" s="1"/>
  <c r="J181" i="1"/>
  <c r="L181" i="1" s="1"/>
  <c r="J180" i="1"/>
  <c r="J179" i="1"/>
  <c r="L179" i="1" s="1"/>
  <c r="M179" i="1" s="1"/>
  <c r="J178" i="1"/>
  <c r="J177" i="1"/>
  <c r="L177" i="1" s="1"/>
  <c r="M177" i="1" s="1"/>
  <c r="J176" i="1"/>
  <c r="J175" i="1"/>
  <c r="L175" i="1" s="1"/>
  <c r="J174" i="1"/>
  <c r="J173" i="1"/>
  <c r="L173" i="1" s="1"/>
  <c r="J172" i="1"/>
  <c r="J171" i="1"/>
  <c r="L171" i="1" s="1"/>
  <c r="M171" i="1" s="1"/>
  <c r="E171" i="1"/>
  <c r="J170" i="1"/>
  <c r="L170" i="1" s="1"/>
  <c r="J169" i="1"/>
  <c r="L169" i="1" s="1"/>
  <c r="M169" i="1" s="1"/>
  <c r="J168" i="1"/>
  <c r="L168" i="1" s="1"/>
  <c r="J167" i="1"/>
  <c r="J166" i="1"/>
  <c r="L166" i="1" s="1"/>
  <c r="M166" i="1" s="1"/>
  <c r="E166" i="1"/>
  <c r="J165" i="1"/>
  <c r="J164" i="1"/>
  <c r="L164" i="1" s="1"/>
  <c r="M164" i="1" s="1"/>
  <c r="J163" i="1"/>
  <c r="L163" i="1" s="1"/>
  <c r="E163" i="1"/>
  <c r="J162" i="1"/>
  <c r="L162" i="1" s="1"/>
  <c r="M162" i="1" s="1"/>
  <c r="J161" i="1"/>
  <c r="J160" i="1"/>
  <c r="L159" i="1"/>
  <c r="M159" i="1" s="1"/>
  <c r="J159" i="1"/>
  <c r="J158" i="1"/>
  <c r="L158" i="1" s="1"/>
  <c r="J157" i="1"/>
  <c r="J156" i="1"/>
  <c r="L156" i="1" s="1"/>
  <c r="M156" i="1" s="1"/>
  <c r="J155" i="1"/>
  <c r="E155" i="1"/>
  <c r="J154" i="1"/>
  <c r="L154" i="1" s="1"/>
  <c r="M154" i="1" s="1"/>
  <c r="L153" i="1"/>
  <c r="J153" i="1"/>
  <c r="J152" i="1"/>
  <c r="J151" i="1"/>
  <c r="L151" i="1" s="1"/>
  <c r="M151" i="1" s="1"/>
  <c r="J150" i="1"/>
  <c r="J149" i="1"/>
  <c r="L149" i="1" s="1"/>
  <c r="M149" i="1" s="1"/>
  <c r="J148" i="1"/>
  <c r="J147" i="1"/>
  <c r="J146" i="1"/>
  <c r="L146" i="1" s="1"/>
  <c r="M146" i="1" s="1"/>
  <c r="J145" i="1"/>
  <c r="J144" i="1"/>
  <c r="J143" i="1"/>
  <c r="J142" i="1"/>
  <c r="J141" i="1"/>
  <c r="L141" i="1" s="1"/>
  <c r="M141" i="1" s="1"/>
  <c r="E141" i="1"/>
  <c r="J140" i="1"/>
  <c r="L140" i="1" s="1"/>
  <c r="J139" i="1"/>
  <c r="J138" i="1"/>
  <c r="L138" i="1" s="1"/>
  <c r="M138" i="1" s="1"/>
  <c r="J137" i="1"/>
  <c r="J136" i="1"/>
  <c r="L136" i="1" s="1"/>
  <c r="M136" i="1" s="1"/>
  <c r="J135" i="1"/>
  <c r="J134" i="1"/>
  <c r="J133" i="1"/>
  <c r="L133" i="1" s="1"/>
  <c r="M133" i="1" s="1"/>
  <c r="J132" i="1"/>
  <c r="L132" i="1" s="1"/>
  <c r="J131" i="1"/>
  <c r="L131" i="1" s="1"/>
  <c r="E131" i="1"/>
  <c r="J130" i="1"/>
  <c r="J129" i="1"/>
  <c r="J128" i="1"/>
  <c r="L128" i="1" s="1"/>
  <c r="J127" i="1"/>
  <c r="E127" i="1"/>
  <c r="J126" i="1"/>
  <c r="L126" i="1" s="1"/>
  <c r="M126" i="1" s="1"/>
  <c r="J125" i="1"/>
  <c r="J124" i="1"/>
  <c r="E124" i="1"/>
  <c r="J123" i="1"/>
  <c r="J122" i="1"/>
  <c r="J121" i="1"/>
  <c r="J120" i="1"/>
  <c r="L120" i="1" s="1"/>
  <c r="J119" i="1"/>
  <c r="L119" i="1" s="1"/>
  <c r="J118" i="1"/>
  <c r="L118" i="1" s="1"/>
  <c r="J117" i="1"/>
  <c r="L117" i="1" s="1"/>
  <c r="M117" i="1" s="1"/>
  <c r="E117" i="1"/>
  <c r="J116" i="1"/>
  <c r="J115" i="1"/>
  <c r="L115" i="1" s="1"/>
  <c r="M115" i="1" s="1"/>
  <c r="J114" i="1"/>
  <c r="L114" i="1" s="1"/>
  <c r="J113" i="1"/>
  <c r="J112" i="1"/>
  <c r="L112" i="1" s="1"/>
  <c r="M112" i="1" s="1"/>
  <c r="J111" i="1"/>
  <c r="J110" i="1"/>
  <c r="J109" i="1"/>
  <c r="J108" i="1"/>
  <c r="J107" i="1"/>
  <c r="L107" i="1" s="1"/>
  <c r="J106" i="1"/>
  <c r="L106" i="1" s="1"/>
  <c r="J105" i="1"/>
  <c r="E105" i="1"/>
  <c r="J104" i="1"/>
  <c r="J103" i="1"/>
  <c r="J102" i="1"/>
  <c r="L102" i="1" s="1"/>
  <c r="M102" i="1" s="1"/>
  <c r="J101" i="1"/>
  <c r="L101" i="1" s="1"/>
  <c r="J100" i="1"/>
  <c r="J99" i="1"/>
  <c r="L99" i="1" s="1"/>
  <c r="M99" i="1" s="1"/>
  <c r="J98" i="1"/>
  <c r="J97" i="1"/>
  <c r="L97" i="1" s="1"/>
  <c r="M97" i="1" s="1"/>
  <c r="J96" i="1"/>
  <c r="J95" i="1"/>
  <c r="J94" i="1"/>
  <c r="L94" i="1" s="1"/>
  <c r="M94" i="1" s="1"/>
  <c r="J93" i="1"/>
  <c r="L93" i="1" s="1"/>
  <c r="J92" i="1"/>
  <c r="L92" i="1" s="1"/>
  <c r="J91" i="1"/>
  <c r="L91" i="1" s="1"/>
  <c r="M91" i="1" s="1"/>
  <c r="E91" i="1"/>
  <c r="J90" i="1"/>
  <c r="J89" i="1"/>
  <c r="L89" i="1" s="1"/>
  <c r="M89" i="1" s="1"/>
  <c r="J88" i="1"/>
  <c r="L88" i="1" s="1"/>
  <c r="J87" i="1"/>
  <c r="E87" i="1"/>
  <c r="J86" i="1"/>
  <c r="J85" i="1"/>
  <c r="J84" i="1"/>
  <c r="L84" i="1" s="1"/>
  <c r="M84" i="1" s="1"/>
  <c r="J83" i="1"/>
  <c r="L83" i="1" s="1"/>
  <c r="J82" i="1"/>
  <c r="L82" i="1" s="1"/>
  <c r="J81" i="1"/>
  <c r="L81" i="1" s="1"/>
  <c r="M81" i="1" s="1"/>
  <c r="J80" i="1"/>
  <c r="J79" i="1"/>
  <c r="L79" i="1" s="1"/>
  <c r="M79" i="1" s="1"/>
  <c r="E79" i="1"/>
  <c r="J78" i="1"/>
  <c r="L78" i="1" s="1"/>
  <c r="J77" i="1"/>
  <c r="J76" i="1"/>
  <c r="L76" i="1" s="1"/>
  <c r="M76" i="1" s="1"/>
  <c r="J75" i="1"/>
  <c r="J74" i="1"/>
  <c r="L74" i="1" s="1"/>
  <c r="M74" i="1" s="1"/>
  <c r="J73" i="1"/>
  <c r="J72" i="1"/>
  <c r="J71" i="1"/>
  <c r="L71" i="1" s="1"/>
  <c r="J70" i="1"/>
  <c r="J69" i="1"/>
  <c r="J68" i="1"/>
  <c r="L68" i="1" s="1"/>
  <c r="E68" i="1"/>
  <c r="J67" i="1"/>
  <c r="J66" i="1"/>
  <c r="L66" i="1" s="1"/>
  <c r="M66" i="1" s="1"/>
  <c r="J65" i="1"/>
  <c r="L65" i="1" s="1"/>
  <c r="J64" i="1"/>
  <c r="J63" i="1"/>
  <c r="L63" i="1" s="1"/>
  <c r="E63" i="1"/>
  <c r="J62" i="1"/>
  <c r="J61" i="1"/>
  <c r="L61" i="1" s="1"/>
  <c r="M61" i="1" s="1"/>
  <c r="E61" i="1"/>
  <c r="J60" i="1"/>
  <c r="J59" i="1"/>
  <c r="L59" i="1" s="1"/>
  <c r="M59" i="1" s="1"/>
  <c r="J58" i="1"/>
  <c r="J57" i="1"/>
  <c r="J56" i="1"/>
  <c r="L56" i="1" s="1"/>
  <c r="J55" i="1"/>
  <c r="L55" i="1" s="1"/>
  <c r="M55" i="1" s="1"/>
  <c r="J54" i="1"/>
  <c r="L54" i="1" s="1"/>
  <c r="J53" i="1"/>
  <c r="J52" i="1"/>
  <c r="E52" i="1"/>
  <c r="J51" i="1"/>
  <c r="L51" i="1" s="1"/>
  <c r="M51" i="1" s="1"/>
  <c r="J50" i="1"/>
  <c r="L50" i="1" s="1"/>
  <c r="M50" i="1" s="1"/>
  <c r="J49" i="1"/>
  <c r="J48" i="1"/>
  <c r="L48" i="1" s="1"/>
  <c r="J47" i="1"/>
  <c r="J46" i="1"/>
  <c r="L46" i="1" s="1"/>
  <c r="M46" i="1" s="1"/>
  <c r="J45" i="1"/>
  <c r="J44" i="1"/>
  <c r="J43" i="1"/>
  <c r="L43" i="1" s="1"/>
  <c r="E43" i="1"/>
  <c r="J42" i="1"/>
  <c r="J41" i="1"/>
  <c r="L41" i="1" s="1"/>
  <c r="M41" i="1" s="1"/>
  <c r="E41" i="1"/>
  <c r="J40" i="1"/>
  <c r="L40" i="1" s="1"/>
  <c r="M40" i="1" s="1"/>
  <c r="J39" i="1"/>
  <c r="J38" i="1"/>
  <c r="L38" i="1" s="1"/>
  <c r="J37" i="1"/>
  <c r="J36" i="1"/>
  <c r="L36" i="1" s="1"/>
  <c r="M36" i="1" s="1"/>
  <c r="J35" i="1"/>
  <c r="E35" i="1"/>
  <c r="J34" i="1"/>
  <c r="L34" i="1" s="1"/>
  <c r="J33" i="1"/>
  <c r="L33" i="1" s="1"/>
  <c r="J32" i="1"/>
  <c r="J31" i="1"/>
  <c r="J30" i="1"/>
  <c r="J29" i="1"/>
  <c r="J28" i="1"/>
  <c r="L28" i="1" s="1"/>
  <c r="M28" i="1" s="1"/>
  <c r="J27" i="1"/>
  <c r="L27" i="1" s="1"/>
  <c r="M27" i="1" s="1"/>
  <c r="J26" i="1"/>
  <c r="J25" i="1"/>
  <c r="J24" i="1"/>
  <c r="J23" i="1"/>
  <c r="L23" i="1" s="1"/>
  <c r="M23" i="1" s="1"/>
  <c r="J22" i="1"/>
  <c r="E22" i="1"/>
  <c r="J21" i="1"/>
  <c r="J20" i="1"/>
  <c r="E20" i="1"/>
  <c r="J19" i="1"/>
  <c r="J18" i="1"/>
  <c r="L18" i="1" s="1"/>
  <c r="J17" i="1"/>
  <c r="L17" i="1" s="1"/>
  <c r="M17" i="1" s="1"/>
  <c r="J16" i="1"/>
  <c r="L16" i="1" s="1"/>
  <c r="J15" i="1"/>
  <c r="J14" i="1"/>
  <c r="J13" i="1"/>
  <c r="L13" i="1" s="1"/>
  <c r="M13" i="1" s="1"/>
  <c r="J12" i="1"/>
  <c r="J11" i="1"/>
  <c r="J10" i="1"/>
  <c r="L10" i="1" s="1"/>
  <c r="M10" i="1" s="1"/>
  <c r="J9" i="1"/>
  <c r="J8" i="1"/>
  <c r="L8" i="1" s="1"/>
  <c r="J7" i="1"/>
  <c r="J6" i="1"/>
  <c r="J5" i="1"/>
  <c r="L5" i="1" s="1"/>
  <c r="M5" i="1" s="1"/>
  <c r="E5" i="1"/>
  <c r="J4" i="1"/>
  <c r="J3" i="1"/>
  <c r="J2" i="1"/>
  <c r="E2" i="1"/>
  <c r="M251" i="1" l="1"/>
  <c r="L260" i="1"/>
  <c r="M260" i="1" s="1"/>
  <c r="M71" i="1"/>
  <c r="L174" i="1"/>
  <c r="M174" i="1" s="1"/>
  <c r="L251" i="1"/>
  <c r="L123" i="1"/>
  <c r="M123" i="1" s="1"/>
  <c r="M56" i="1"/>
  <c r="M259" i="1"/>
  <c r="L2" i="1"/>
  <c r="M2" i="1" s="1"/>
  <c r="L53" i="1"/>
  <c r="M53" i="1" s="1"/>
  <c r="L110" i="1"/>
  <c r="M110" i="1" s="1"/>
  <c r="M128" i="1"/>
  <c r="L143" i="1"/>
  <c r="M143" i="1" s="1"/>
  <c r="M18" i="1"/>
  <c r="M43" i="1"/>
  <c r="M106" i="1"/>
  <c r="M120" i="1"/>
  <c r="M140" i="1"/>
  <c r="M153" i="1"/>
  <c r="M168" i="1"/>
  <c r="M215" i="1"/>
  <c r="M233" i="1"/>
  <c r="L31" i="1"/>
  <c r="M31" i="1" s="1"/>
  <c r="L70" i="1"/>
  <c r="M70" i="1" s="1"/>
  <c r="L199" i="1"/>
  <c r="M199" i="1" s="1"/>
  <c r="M210" i="1"/>
  <c r="L9" i="1"/>
  <c r="M9" i="1" s="1"/>
  <c r="M107" i="1"/>
  <c r="L145" i="1"/>
  <c r="M145" i="1" s="1"/>
  <c r="M158" i="1"/>
  <c r="M217" i="1"/>
  <c r="M223" i="1"/>
  <c r="L262" i="1"/>
  <c r="M262" i="1" s="1"/>
  <c r="M173" i="1"/>
  <c r="L4" i="1"/>
  <c r="M4" i="1" s="1"/>
  <c r="M65" i="1"/>
  <c r="M101" i="1"/>
  <c r="M33" i="1"/>
  <c r="M38" i="1"/>
  <c r="M78" i="1"/>
  <c r="M88" i="1"/>
  <c r="M114" i="1"/>
  <c r="M119" i="1"/>
  <c r="L127" i="1"/>
  <c r="M127" i="1" s="1"/>
  <c r="M132" i="1"/>
  <c r="M163" i="1"/>
  <c r="M181" i="1"/>
  <c r="L254" i="1"/>
  <c r="M254" i="1" s="1"/>
  <c r="M48" i="1"/>
  <c r="M63" i="1"/>
  <c r="M68" i="1"/>
  <c r="M83" i="1"/>
  <c r="M93" i="1"/>
  <c r="M186" i="1"/>
  <c r="M192" i="1"/>
  <c r="M241" i="1"/>
  <c r="M246" i="1"/>
  <c r="L103" i="1"/>
  <c r="M103" i="1" s="1"/>
  <c r="L134" i="1"/>
  <c r="M134" i="1" s="1"/>
  <c r="L224" i="1"/>
  <c r="M224" i="1" s="1"/>
  <c r="L11" i="1"/>
  <c r="M11" i="1" s="1"/>
  <c r="L67" i="1"/>
  <c r="M67" i="1" s="1"/>
  <c r="M92" i="1"/>
  <c r="L105" i="1"/>
  <c r="M105" i="1" s="1"/>
  <c r="M131" i="1"/>
  <c r="L165" i="1"/>
  <c r="M165" i="1" s="1"/>
  <c r="L193" i="1"/>
  <c r="M193" i="1" s="1"/>
  <c r="L198" i="1"/>
  <c r="M198" i="1" s="1"/>
  <c r="L203" i="1"/>
  <c r="M203" i="1" s="1"/>
  <c r="L250" i="1"/>
  <c r="M250" i="1" s="1"/>
  <c r="L185" i="1"/>
  <c r="M185" i="1" s="1"/>
  <c r="L62" i="1"/>
  <c r="M62" i="1" s="1"/>
  <c r="L113" i="1"/>
  <c r="M113" i="1" s="1"/>
  <c r="M34" i="1"/>
  <c r="M118" i="1"/>
  <c r="L3" i="1"/>
  <c r="M3" i="1" s="1"/>
  <c r="L21" i="1"/>
  <c r="M21" i="1" s="1"/>
  <c r="L147" i="1"/>
  <c r="M147" i="1" s="1"/>
  <c r="L19" i="1"/>
  <c r="M19" i="1" s="1"/>
  <c r="M82" i="1"/>
  <c r="L121" i="1"/>
  <c r="M121" i="1" s="1"/>
  <c r="L167" i="1"/>
  <c r="M167" i="1" s="1"/>
  <c r="L172" i="1"/>
  <c r="M172" i="1"/>
  <c r="L258" i="1"/>
  <c r="M258" i="1" s="1"/>
  <c r="M16" i="1"/>
  <c r="L29" i="1"/>
  <c r="M29" i="1" s="1"/>
  <c r="M54" i="1"/>
  <c r="L157" i="1"/>
  <c r="M157" i="1" s="1"/>
  <c r="M8" i="1"/>
  <c r="L26" i="1"/>
  <c r="M26" i="1" s="1"/>
  <c r="L39" i="1"/>
  <c r="M39" i="1" s="1"/>
  <c r="L72" i="1"/>
  <c r="M72" i="1" s="1"/>
  <c r="L232" i="1"/>
  <c r="M232" i="1" s="1"/>
  <c r="L90" i="1"/>
  <c r="M90" i="1" s="1"/>
  <c r="L44" i="1"/>
  <c r="M44" i="1" s="1"/>
  <c r="L57" i="1"/>
  <c r="M57" i="1" s="1"/>
  <c r="L69" i="1"/>
  <c r="M69" i="1" s="1"/>
  <c r="L108" i="1"/>
  <c r="M108" i="1" s="1"/>
  <c r="L129" i="1"/>
  <c r="M129" i="1"/>
  <c r="L160" i="1"/>
  <c r="M160" i="1" s="1"/>
  <c r="L49" i="1"/>
  <c r="M49" i="1" s="1"/>
  <c r="L95" i="1"/>
  <c r="M95" i="1" s="1"/>
  <c r="L87" i="1"/>
  <c r="M87" i="1" s="1"/>
  <c r="L100" i="1"/>
  <c r="M100" i="1" s="1"/>
  <c r="L139" i="1"/>
  <c r="M139" i="1" s="1"/>
  <c r="L64" i="1"/>
  <c r="M64" i="1" s="1"/>
  <c r="L77" i="1"/>
  <c r="M77" i="1" s="1"/>
  <c r="L85" i="1"/>
  <c r="M85" i="1" s="1"/>
  <c r="L116" i="1"/>
  <c r="M116" i="1"/>
  <c r="L144" i="1"/>
  <c r="M144" i="1" s="1"/>
  <c r="L152" i="1"/>
  <c r="M152" i="1" s="1"/>
  <c r="L180" i="1"/>
  <c r="M180" i="1" s="1"/>
  <c r="L216" i="1"/>
  <c r="M216" i="1" s="1"/>
  <c r="L240" i="1"/>
  <c r="M240" i="1" s="1"/>
  <c r="L245" i="1"/>
  <c r="M245" i="1" s="1"/>
  <c r="L253" i="1"/>
  <c r="M253" i="1" s="1"/>
  <c r="L261" i="1"/>
  <c r="M261" i="1" s="1"/>
  <c r="L183" i="1"/>
  <c r="M183" i="1" s="1"/>
  <c r="L201" i="1"/>
  <c r="M201" i="1" s="1"/>
  <c r="L235" i="1"/>
  <c r="M235" i="1" s="1"/>
  <c r="L6" i="1"/>
  <c r="M6" i="1" s="1"/>
  <c r="L14" i="1"/>
  <c r="M14" i="1" s="1"/>
  <c r="L24" i="1"/>
  <c r="M24" i="1" s="1"/>
  <c r="L32" i="1"/>
  <c r="M32" i="1" s="1"/>
  <c r="L37" i="1"/>
  <c r="M37" i="1" s="1"/>
  <c r="L42" i="1"/>
  <c r="M42" i="1" s="1"/>
  <c r="L47" i="1"/>
  <c r="M47" i="1" s="1"/>
  <c r="L52" i="1"/>
  <c r="M52" i="1" s="1"/>
  <c r="L60" i="1"/>
  <c r="M60" i="1" s="1"/>
  <c r="L75" i="1"/>
  <c r="M75" i="1" s="1"/>
  <c r="L80" i="1"/>
  <c r="M80" i="1" s="1"/>
  <c r="L98" i="1"/>
  <c r="M98" i="1" s="1"/>
  <c r="L111" i="1"/>
  <c r="M111" i="1" s="1"/>
  <c r="L137" i="1"/>
  <c r="M137" i="1" s="1"/>
  <c r="L142" i="1"/>
  <c r="M142" i="1" s="1"/>
  <c r="L150" i="1"/>
  <c r="M150" i="1" s="1"/>
  <c r="L155" i="1"/>
  <c r="M155" i="1" s="1"/>
  <c r="M170" i="1"/>
  <c r="M175" i="1"/>
  <c r="L178" i="1"/>
  <c r="M178" i="1" s="1"/>
  <c r="M188" i="1"/>
  <c r="L191" i="1"/>
  <c r="M191" i="1" s="1"/>
  <c r="L196" i="1"/>
  <c r="M196" i="1" s="1"/>
  <c r="M206" i="1"/>
  <c r="M211" i="1"/>
  <c r="L214" i="1"/>
  <c r="M214" i="1" s="1"/>
  <c r="M219" i="1"/>
  <c r="L222" i="1"/>
  <c r="M222" i="1" s="1"/>
  <c r="M227" i="1"/>
  <c r="L230" i="1"/>
  <c r="M230" i="1" s="1"/>
  <c r="L243" i="1"/>
  <c r="M243" i="1" s="1"/>
  <c r="L248" i="1"/>
  <c r="M248" i="1" s="1"/>
  <c r="L256" i="1"/>
  <c r="M256" i="1" s="1"/>
  <c r="L264" i="1"/>
  <c r="M264" i="1" s="1"/>
  <c r="L204" i="1"/>
  <c r="M204" i="1" s="1"/>
  <c r="L209" i="1"/>
  <c r="M209" i="1" s="1"/>
  <c r="L225" i="1"/>
  <c r="M225" i="1" s="1"/>
  <c r="L12" i="1"/>
  <c r="M12" i="1" s="1"/>
  <c r="L22" i="1"/>
  <c r="M22" i="1" s="1"/>
  <c r="L30" i="1"/>
  <c r="M30" i="1" s="1"/>
  <c r="L35" i="1"/>
  <c r="M35" i="1" s="1"/>
  <c r="L45" i="1"/>
  <c r="M45" i="1" s="1"/>
  <c r="L58" i="1"/>
  <c r="M58" i="1" s="1"/>
  <c r="L73" i="1"/>
  <c r="M73" i="1" s="1"/>
  <c r="L86" i="1"/>
  <c r="M86" i="1" s="1"/>
  <c r="L96" i="1"/>
  <c r="M96" i="1" s="1"/>
  <c r="L104" i="1"/>
  <c r="M104" i="1" s="1"/>
  <c r="L109" i="1"/>
  <c r="M109" i="1" s="1"/>
  <c r="L122" i="1"/>
  <c r="M122" i="1" s="1"/>
  <c r="L125" i="1"/>
  <c r="M125" i="1" s="1"/>
  <c r="L130" i="1"/>
  <c r="M130" i="1" s="1"/>
  <c r="L135" i="1"/>
  <c r="M135" i="1" s="1"/>
  <c r="L148" i="1"/>
  <c r="M148" i="1" s="1"/>
  <c r="L161" i="1"/>
  <c r="M161" i="1" s="1"/>
  <c r="L176" i="1"/>
  <c r="M176" i="1" s="1"/>
  <c r="L184" i="1"/>
  <c r="M184" i="1" s="1"/>
  <c r="L189" i="1"/>
  <c r="M189" i="1" s="1"/>
  <c r="L194" i="1"/>
  <c r="M194" i="1" s="1"/>
  <c r="L207" i="1"/>
  <c r="M207" i="1" s="1"/>
  <c r="L212" i="1"/>
  <c r="M212" i="1" s="1"/>
  <c r="L220" i="1"/>
  <c r="M220" i="1" s="1"/>
  <c r="L7" i="1"/>
  <c r="M7" i="1" s="1"/>
  <c r="L15" i="1"/>
  <c r="M15" i="1" s="1"/>
  <c r="L20" i="1"/>
  <c r="M20" i="1" s="1"/>
  <c r="L25" i="1"/>
  <c r="M25" i="1" s="1"/>
  <c r="L202" i="1"/>
  <c r="M202" i="1" s="1"/>
  <c r="L244" i="1"/>
  <c r="M244" i="1" s="1"/>
  <c r="L249" i="1"/>
  <c r="M249" i="1" s="1"/>
  <c r="L257" i="1"/>
  <c r="M257" i="1" s="1"/>
  <c r="L265" i="1"/>
  <c r="M265" i="1" s="1"/>
</calcChain>
</file>

<file path=xl/sharedStrings.xml><?xml version="1.0" encoding="utf-8"?>
<sst xmlns="http://schemas.openxmlformats.org/spreadsheetml/2006/main" count="1039" uniqueCount="608">
  <si>
    <t>Set</t>
  </si>
  <si>
    <t xml:space="preserve">Row </t>
  </si>
  <si>
    <t xml:space="preserve">Tree </t>
  </si>
  <si>
    <t>1st</t>
  </si>
  <si>
    <t>1B</t>
  </si>
  <si>
    <t>M5</t>
  </si>
  <si>
    <t>4th</t>
  </si>
  <si>
    <t>1Ω</t>
  </si>
  <si>
    <t>3905</t>
  </si>
  <si>
    <t>M33</t>
  </si>
  <si>
    <t>2Ω</t>
  </si>
  <si>
    <t>3906</t>
  </si>
  <si>
    <t>M35</t>
  </si>
  <si>
    <t>2B</t>
  </si>
  <si>
    <t>M2</t>
  </si>
  <si>
    <t>3rd</t>
  </si>
  <si>
    <t>3B</t>
  </si>
  <si>
    <t>3918</t>
  </si>
  <si>
    <t>M27</t>
  </si>
  <si>
    <t>8th</t>
  </si>
  <si>
    <t>3Ω</t>
  </si>
  <si>
    <t>3919</t>
  </si>
  <si>
    <t>M77</t>
  </si>
  <si>
    <t>4Ω</t>
  </si>
  <si>
    <t>3920</t>
  </si>
  <si>
    <t>M40</t>
  </si>
  <si>
    <t>5th</t>
  </si>
  <si>
    <t>5Ω</t>
  </si>
  <si>
    <t>3921</t>
  </si>
  <si>
    <t>M42</t>
  </si>
  <si>
    <t>4B</t>
  </si>
  <si>
    <t>3922</t>
  </si>
  <si>
    <t>M22</t>
  </si>
  <si>
    <t>2nd</t>
  </si>
  <si>
    <t>5B</t>
  </si>
  <si>
    <t>3926</t>
  </si>
  <si>
    <t>M15</t>
  </si>
  <si>
    <t>6B</t>
  </si>
  <si>
    <t>3927</t>
  </si>
  <si>
    <t>M12</t>
  </si>
  <si>
    <t>7th</t>
  </si>
  <si>
    <t>1α</t>
  </si>
  <si>
    <t>3928</t>
  </si>
  <si>
    <t>M69</t>
  </si>
  <si>
    <t>7B</t>
  </si>
  <si>
    <t>3929</t>
  </si>
  <si>
    <t>M18</t>
  </si>
  <si>
    <t>8B</t>
  </si>
  <si>
    <t>3933</t>
  </si>
  <si>
    <t>M11</t>
  </si>
  <si>
    <t>9B</t>
  </si>
  <si>
    <t>3934</t>
  </si>
  <si>
    <t>M26</t>
  </si>
  <si>
    <t>10B</t>
  </si>
  <si>
    <t>3935</t>
  </si>
  <si>
    <t>M29</t>
  </si>
  <si>
    <t>6Ω</t>
  </si>
  <si>
    <t>3939</t>
  </si>
  <si>
    <t>M41</t>
  </si>
  <si>
    <t>7Ω</t>
  </si>
  <si>
    <t>3940</t>
  </si>
  <si>
    <t>M49</t>
  </si>
  <si>
    <t>11B</t>
  </si>
  <si>
    <t>M9</t>
  </si>
  <si>
    <t>12B</t>
  </si>
  <si>
    <t>4001</t>
  </si>
  <si>
    <t>M24</t>
  </si>
  <si>
    <t>13B</t>
  </si>
  <si>
    <t>M1</t>
  </si>
  <si>
    <t>8Ω</t>
  </si>
  <si>
    <t>4004</t>
  </si>
  <si>
    <t>M80</t>
  </si>
  <si>
    <t>14B</t>
  </si>
  <si>
    <t>4005</t>
  </si>
  <si>
    <t>M13</t>
  </si>
  <si>
    <t>15B</t>
  </si>
  <si>
    <t>4020</t>
  </si>
  <si>
    <t>M17</t>
  </si>
  <si>
    <t>2α</t>
  </si>
  <si>
    <t>4021</t>
  </si>
  <si>
    <t>M67</t>
  </si>
  <si>
    <t>3α</t>
  </si>
  <si>
    <t>4022</t>
  </si>
  <si>
    <t>M68</t>
  </si>
  <si>
    <t>16B</t>
  </si>
  <si>
    <t>4023</t>
  </si>
  <si>
    <t>M14</t>
  </si>
  <si>
    <t>9Ω</t>
  </si>
  <si>
    <t>4024</t>
  </si>
  <si>
    <t>M73</t>
  </si>
  <si>
    <t>4α</t>
  </si>
  <si>
    <t>4025</t>
  </si>
  <si>
    <t>M66</t>
  </si>
  <si>
    <t>10Ω</t>
  </si>
  <si>
    <t>4026</t>
  </si>
  <si>
    <t>M38</t>
  </si>
  <si>
    <t>11Ω</t>
  </si>
  <si>
    <t>4028</t>
  </si>
  <si>
    <t>M34</t>
  </si>
  <si>
    <t>17B</t>
  </si>
  <si>
    <t>4029</t>
  </si>
  <si>
    <t>M20</t>
  </si>
  <si>
    <t>18B</t>
  </si>
  <si>
    <t>4033</t>
  </si>
  <si>
    <t>M28</t>
  </si>
  <si>
    <t>19B</t>
  </si>
  <si>
    <t>M4</t>
  </si>
  <si>
    <t>20B</t>
  </si>
  <si>
    <t>4035</t>
  </si>
  <si>
    <t>M21</t>
  </si>
  <si>
    <t>21B</t>
  </si>
  <si>
    <t>4040</t>
  </si>
  <si>
    <t>M25</t>
  </si>
  <si>
    <t>12Ω</t>
  </si>
  <si>
    <t>4041</t>
  </si>
  <si>
    <t>M39</t>
  </si>
  <si>
    <t>5α</t>
  </si>
  <si>
    <t>4101</t>
  </si>
  <si>
    <t>M64</t>
  </si>
  <si>
    <t>13Ω</t>
  </si>
  <si>
    <t>4102</t>
  </si>
  <si>
    <t>M43</t>
  </si>
  <si>
    <t>23B</t>
  </si>
  <si>
    <t>M7</t>
  </si>
  <si>
    <t>24B</t>
  </si>
  <si>
    <t>4104</t>
  </si>
  <si>
    <t>M16</t>
  </si>
  <si>
    <t>25B</t>
  </si>
  <si>
    <t>M3</t>
  </si>
  <si>
    <t>14Ω</t>
  </si>
  <si>
    <t>4106</t>
  </si>
  <si>
    <t>M50</t>
  </si>
  <si>
    <t>26B</t>
  </si>
  <si>
    <t>4107</t>
  </si>
  <si>
    <t>M19</t>
  </si>
  <si>
    <t>27B</t>
  </si>
  <si>
    <t>4108</t>
  </si>
  <si>
    <t>6α</t>
  </si>
  <si>
    <t>4109</t>
  </si>
  <si>
    <t>M65</t>
  </si>
  <si>
    <t>15Ω</t>
  </si>
  <si>
    <t>4114</t>
  </si>
  <si>
    <t>M32</t>
  </si>
  <si>
    <t>28B</t>
  </si>
  <si>
    <t>4115</t>
  </si>
  <si>
    <t>29B</t>
  </si>
  <si>
    <t>4116</t>
  </si>
  <si>
    <t>M23</t>
  </si>
  <si>
    <t>30B</t>
  </si>
  <si>
    <t>4117</t>
  </si>
  <si>
    <t>M30</t>
  </si>
  <si>
    <t>31B</t>
  </si>
  <si>
    <t>M6</t>
  </si>
  <si>
    <t>16Ω</t>
  </si>
  <si>
    <t>4120</t>
  </si>
  <si>
    <t>M37</t>
  </si>
  <si>
    <t>7α</t>
  </si>
  <si>
    <t>4121</t>
  </si>
  <si>
    <t>M63</t>
  </si>
  <si>
    <t>32B</t>
  </si>
  <si>
    <t>4122</t>
  </si>
  <si>
    <t>8α</t>
  </si>
  <si>
    <t>4123</t>
  </si>
  <si>
    <t>M62</t>
  </si>
  <si>
    <t>17Ω</t>
  </si>
  <si>
    <t>4124</t>
  </si>
  <si>
    <t>M79</t>
  </si>
  <si>
    <t>9α</t>
  </si>
  <si>
    <t>4125</t>
  </si>
  <si>
    <t>M70</t>
  </si>
  <si>
    <t>10α</t>
  </si>
  <si>
    <t>4126</t>
  </si>
  <si>
    <t>M61</t>
  </si>
  <si>
    <t>33B</t>
  </si>
  <si>
    <t>4127</t>
  </si>
  <si>
    <t>34B</t>
  </si>
  <si>
    <t>M10</t>
  </si>
  <si>
    <t>11α</t>
  </si>
  <si>
    <t>4129</t>
  </si>
  <si>
    <t>35B</t>
  </si>
  <si>
    <t>9th</t>
  </si>
  <si>
    <t>36B</t>
  </si>
  <si>
    <t>4131</t>
  </si>
  <si>
    <t>M88</t>
  </si>
  <si>
    <t>12α</t>
  </si>
  <si>
    <t>4132</t>
  </si>
  <si>
    <t>37B</t>
  </si>
  <si>
    <t>4133</t>
  </si>
  <si>
    <t>M83</t>
  </si>
  <si>
    <t>38B</t>
  </si>
  <si>
    <t>4134</t>
  </si>
  <si>
    <t>M85</t>
  </si>
  <si>
    <t>39B</t>
  </si>
  <si>
    <t>M8</t>
  </si>
  <si>
    <t>40B</t>
  </si>
  <si>
    <t>4136</t>
  </si>
  <si>
    <t>M86</t>
  </si>
  <si>
    <t>18Ω</t>
  </si>
  <si>
    <t>4137</t>
  </si>
  <si>
    <t>M36</t>
  </si>
  <si>
    <t>41B</t>
  </si>
  <si>
    <t>4138</t>
  </si>
  <si>
    <t>M84</t>
  </si>
  <si>
    <t>19Ω</t>
  </si>
  <si>
    <t>4140</t>
  </si>
  <si>
    <t>M31</t>
  </si>
  <si>
    <t>20Ω</t>
  </si>
  <si>
    <t>4141</t>
  </si>
  <si>
    <t>M75</t>
  </si>
  <si>
    <t>21Ω</t>
  </si>
  <si>
    <t>4143</t>
  </si>
  <si>
    <t>M45</t>
  </si>
  <si>
    <t>22Ω</t>
  </si>
  <si>
    <t>4144</t>
  </si>
  <si>
    <t>M48</t>
  </si>
  <si>
    <t>42B</t>
  </si>
  <si>
    <t>4201</t>
  </si>
  <si>
    <t>M87</t>
  </si>
  <si>
    <t>43B</t>
  </si>
  <si>
    <t>4202</t>
  </si>
  <si>
    <t>44B</t>
  </si>
  <si>
    <t>4207</t>
  </si>
  <si>
    <t>45B</t>
  </si>
  <si>
    <t>13α</t>
  </si>
  <si>
    <t>4209</t>
  </si>
  <si>
    <t>46B</t>
  </si>
  <si>
    <t>4210</t>
  </si>
  <si>
    <t>14α</t>
  </si>
  <si>
    <t>4211</t>
  </si>
  <si>
    <t>23Ω</t>
  </si>
  <si>
    <t>4212</t>
  </si>
  <si>
    <t>15α</t>
  </si>
  <si>
    <t>4213</t>
  </si>
  <si>
    <t>16α</t>
  </si>
  <si>
    <t>4215</t>
  </si>
  <si>
    <t>17α</t>
  </si>
  <si>
    <t>4220</t>
  </si>
  <si>
    <t>47B</t>
  </si>
  <si>
    <t>18α</t>
  </si>
  <si>
    <t>4222</t>
  </si>
  <si>
    <t>48B</t>
  </si>
  <si>
    <t>4223</t>
  </si>
  <si>
    <t>49B</t>
  </si>
  <si>
    <t>4224</t>
  </si>
  <si>
    <t>50B</t>
  </si>
  <si>
    <t>24Ω</t>
  </si>
  <si>
    <t>4226</t>
  </si>
  <si>
    <t>25Ω</t>
  </si>
  <si>
    <t>4227</t>
  </si>
  <si>
    <t>26Ω</t>
  </si>
  <si>
    <t>4228</t>
  </si>
  <si>
    <t>27Ω</t>
  </si>
  <si>
    <t>4229</t>
  </si>
  <si>
    <t>M47</t>
  </si>
  <si>
    <t>51B</t>
  </si>
  <si>
    <t>4230</t>
  </si>
  <si>
    <t>19α</t>
  </si>
  <si>
    <t>4231</t>
  </si>
  <si>
    <t>28Ω</t>
  </si>
  <si>
    <t>4232</t>
  </si>
  <si>
    <t>M76</t>
  </si>
  <si>
    <t>20α</t>
  </si>
  <si>
    <t>4233</t>
  </si>
  <si>
    <t>21α</t>
  </si>
  <si>
    <t>4234</t>
  </si>
  <si>
    <t>52B</t>
  </si>
  <si>
    <t>4235</t>
  </si>
  <si>
    <t>29Ω</t>
  </si>
  <si>
    <t>4236</t>
  </si>
  <si>
    <t>M82</t>
  </si>
  <si>
    <t>53B</t>
  </si>
  <si>
    <t>4237</t>
  </si>
  <si>
    <t>54B</t>
  </si>
  <si>
    <t>4238</t>
  </si>
  <si>
    <t>55B</t>
  </si>
  <si>
    <t>30Ω</t>
  </si>
  <si>
    <t>4240</t>
  </si>
  <si>
    <t>M46</t>
  </si>
  <si>
    <t>56B</t>
  </si>
  <si>
    <t>4242</t>
  </si>
  <si>
    <t>22α</t>
  </si>
  <si>
    <t>4243</t>
  </si>
  <si>
    <t>23α</t>
  </si>
  <si>
    <t>4244</t>
  </si>
  <si>
    <t>31Ω</t>
  </si>
  <si>
    <t>4301</t>
  </si>
  <si>
    <t>32Ω</t>
  </si>
  <si>
    <t>4302</t>
  </si>
  <si>
    <t>6th</t>
  </si>
  <si>
    <t>33Ω</t>
  </si>
  <si>
    <t>4303</t>
  </si>
  <si>
    <t>M52</t>
  </si>
  <si>
    <t>57B</t>
  </si>
  <si>
    <t>4305</t>
  </si>
  <si>
    <t>24α</t>
  </si>
  <si>
    <t>4306</t>
  </si>
  <si>
    <t>58B</t>
  </si>
  <si>
    <t>4307</t>
  </si>
  <si>
    <t>59B</t>
  </si>
  <si>
    <t>4308</t>
  </si>
  <si>
    <t>60B</t>
  </si>
  <si>
    <t>61B</t>
  </si>
  <si>
    <t>4310</t>
  </si>
  <si>
    <t>25α</t>
  </si>
  <si>
    <t>4311</t>
  </si>
  <si>
    <t>62B</t>
  </si>
  <si>
    <t>4312</t>
  </si>
  <si>
    <t>26α</t>
  </si>
  <si>
    <t>4313</t>
  </si>
  <si>
    <t>27α</t>
  </si>
  <si>
    <t>4314</t>
  </si>
  <si>
    <t>34Ω</t>
  </si>
  <si>
    <t>4315</t>
  </si>
  <si>
    <t>63B</t>
  </si>
  <si>
    <t>64B</t>
  </si>
  <si>
    <t>4317</t>
  </si>
  <si>
    <t>65B</t>
  </si>
  <si>
    <t>4318</t>
  </si>
  <si>
    <t>66B</t>
  </si>
  <si>
    <t>67B</t>
  </si>
  <si>
    <t>4320</t>
  </si>
  <si>
    <t>68B</t>
  </si>
  <si>
    <t>4321</t>
  </si>
  <si>
    <t>69B</t>
  </si>
  <si>
    <t>4322</t>
  </si>
  <si>
    <t>70B</t>
  </si>
  <si>
    <t>35Ω</t>
  </si>
  <si>
    <t>4324</t>
  </si>
  <si>
    <t>36Ω</t>
  </si>
  <si>
    <t>4325</t>
  </si>
  <si>
    <t>M78</t>
  </si>
  <si>
    <t>37Ω</t>
  </si>
  <si>
    <t>4326</t>
  </si>
  <si>
    <t>M74</t>
  </si>
  <si>
    <t>38Ω</t>
  </si>
  <si>
    <t>4327</t>
  </si>
  <si>
    <t>M44</t>
  </si>
  <si>
    <t>39Ω</t>
  </si>
  <si>
    <t>4328</t>
  </si>
  <si>
    <t>40Ω</t>
  </si>
  <si>
    <t>4329</t>
  </si>
  <si>
    <t>41Ω</t>
  </si>
  <si>
    <t>4330</t>
  </si>
  <si>
    <t>M72</t>
  </si>
  <si>
    <t>42Ω</t>
  </si>
  <si>
    <t>4331</t>
  </si>
  <si>
    <t>M71</t>
  </si>
  <si>
    <t>43Ω</t>
  </si>
  <si>
    <t>4332</t>
  </si>
  <si>
    <t>71B</t>
  </si>
  <si>
    <t>44Ω</t>
  </si>
  <si>
    <t>4335</t>
  </si>
  <si>
    <t>M51</t>
  </si>
  <si>
    <t>45Ω</t>
  </si>
  <si>
    <t>4336</t>
  </si>
  <si>
    <t>46Ω</t>
  </si>
  <si>
    <t>4337</t>
  </si>
  <si>
    <t>M57</t>
  </si>
  <si>
    <t>72B</t>
  </si>
  <si>
    <t>4338</t>
  </si>
  <si>
    <t>73B</t>
  </si>
  <si>
    <t>4339</t>
  </si>
  <si>
    <t>47Ω</t>
  </si>
  <si>
    <t>4340</t>
  </si>
  <si>
    <t>M59</t>
  </si>
  <si>
    <t>48Ω</t>
  </si>
  <si>
    <t>4341</t>
  </si>
  <si>
    <t>M54</t>
  </si>
  <si>
    <t>74B</t>
  </si>
  <si>
    <t>4342</t>
  </si>
  <si>
    <t>75B</t>
  </si>
  <si>
    <t>4343</t>
  </si>
  <si>
    <t>49Ω</t>
  </si>
  <si>
    <t>4344</t>
  </si>
  <si>
    <t>M81</t>
  </si>
  <si>
    <t>50Ω</t>
  </si>
  <si>
    <t>4401</t>
  </si>
  <si>
    <t>76B</t>
  </si>
  <si>
    <t>4403</t>
  </si>
  <si>
    <t>77B</t>
  </si>
  <si>
    <t>4404</t>
  </si>
  <si>
    <t>78B</t>
  </si>
  <si>
    <t>51Ω</t>
  </si>
  <si>
    <t>4406</t>
  </si>
  <si>
    <t>28α</t>
  </si>
  <si>
    <t>4407</t>
  </si>
  <si>
    <t>79B</t>
  </si>
  <si>
    <t>4408</t>
  </si>
  <si>
    <t>52Ω</t>
  </si>
  <si>
    <t>4410</t>
  </si>
  <si>
    <t>53Ω</t>
  </si>
  <si>
    <t>4411</t>
  </si>
  <si>
    <t>80B</t>
  </si>
  <si>
    <t>4412</t>
  </si>
  <si>
    <t>81B</t>
  </si>
  <si>
    <t>4413</t>
  </si>
  <si>
    <t>82B</t>
  </si>
  <si>
    <t>29α</t>
  </si>
  <si>
    <t>4415</t>
  </si>
  <si>
    <t>83B</t>
  </si>
  <si>
    <t>4416</t>
  </si>
  <si>
    <t>84B</t>
  </si>
  <si>
    <t>30α</t>
  </si>
  <si>
    <t>4418</t>
  </si>
  <si>
    <t>85B</t>
  </si>
  <si>
    <t>4419</t>
  </si>
  <si>
    <t>86B</t>
  </si>
  <si>
    <t>4420</t>
  </si>
  <si>
    <t>54Ω</t>
  </si>
  <si>
    <t>4421</t>
  </si>
  <si>
    <t>87B</t>
  </si>
  <si>
    <t>55Ω</t>
  </si>
  <si>
    <t>4423</t>
  </si>
  <si>
    <t>M60</t>
  </si>
  <si>
    <t>56Ω</t>
  </si>
  <si>
    <t>4424</t>
  </si>
  <si>
    <t>88B</t>
  </si>
  <si>
    <t>4425</t>
  </si>
  <si>
    <t>57Ω</t>
  </si>
  <si>
    <t>4426</t>
  </si>
  <si>
    <t>M56</t>
  </si>
  <si>
    <t>58Ω</t>
  </si>
  <si>
    <t>4427</t>
  </si>
  <si>
    <t>59Ω</t>
  </si>
  <si>
    <t>4428</t>
  </si>
  <si>
    <t>M53</t>
  </si>
  <si>
    <t>60Ω</t>
  </si>
  <si>
    <t>4429</t>
  </si>
  <si>
    <t>61Ω</t>
  </si>
  <si>
    <t>4430</t>
  </si>
  <si>
    <t>M55</t>
  </si>
  <si>
    <t>62Ω</t>
  </si>
  <si>
    <t>4431</t>
  </si>
  <si>
    <t>M58</t>
  </si>
  <si>
    <t>63Ω</t>
  </si>
  <si>
    <t>4432</t>
  </si>
  <si>
    <t>64Ω</t>
  </si>
  <si>
    <t>4433</t>
  </si>
  <si>
    <t>65Ω</t>
  </si>
  <si>
    <t>4434</t>
  </si>
  <si>
    <t>66Ω</t>
  </si>
  <si>
    <t>4435</t>
  </si>
  <si>
    <t>89B</t>
  </si>
  <si>
    <t>67Ω</t>
  </si>
  <si>
    <t>4438</t>
  </si>
  <si>
    <t>68Ω</t>
  </si>
  <si>
    <t>4439</t>
  </si>
  <si>
    <t>69Ω</t>
  </si>
  <si>
    <t>4440</t>
  </si>
  <si>
    <t>70Ω</t>
  </si>
  <si>
    <t>4441</t>
  </si>
  <si>
    <t>90B</t>
  </si>
  <si>
    <t>4442</t>
  </si>
  <si>
    <t>71Ω</t>
  </si>
  <si>
    <t>4443</t>
  </si>
  <si>
    <t>72Ω</t>
  </si>
  <si>
    <t>4501</t>
  </si>
  <si>
    <t>92B</t>
  </si>
  <si>
    <t>4502</t>
  </si>
  <si>
    <t>93B</t>
  </si>
  <si>
    <t>94B</t>
  </si>
  <si>
    <t>4505</t>
  </si>
  <si>
    <t>73Ω</t>
  </si>
  <si>
    <t>4506</t>
  </si>
  <si>
    <t>74Ω</t>
  </si>
  <si>
    <t>4507</t>
  </si>
  <si>
    <t>95B</t>
  </si>
  <si>
    <t>4508</t>
  </si>
  <si>
    <t>96B</t>
  </si>
  <si>
    <t>4509</t>
  </si>
  <si>
    <t>75Ω</t>
  </si>
  <si>
    <t>4510</t>
  </si>
  <si>
    <t>97B</t>
  </si>
  <si>
    <t>4511</t>
  </si>
  <si>
    <t>98B</t>
  </si>
  <si>
    <t>99B</t>
  </si>
  <si>
    <t>4513</t>
  </si>
  <si>
    <t>76Ω</t>
  </si>
  <si>
    <t>4514</t>
  </si>
  <si>
    <t>77Ω</t>
  </si>
  <si>
    <t>4515</t>
  </si>
  <si>
    <t>100B</t>
  </si>
  <si>
    <t>4516</t>
  </si>
  <si>
    <t>78Ω</t>
  </si>
  <si>
    <t>4517</t>
  </si>
  <si>
    <t>79Ω</t>
  </si>
  <si>
    <t>4518</t>
  </si>
  <si>
    <t>101B</t>
  </si>
  <si>
    <t>80Ω</t>
  </si>
  <si>
    <t>4520</t>
  </si>
  <si>
    <t>81Ω</t>
  </si>
  <si>
    <t>4521</t>
  </si>
  <si>
    <t>82Ω</t>
  </si>
  <si>
    <t>4522</t>
  </si>
  <si>
    <t>83Ω</t>
  </si>
  <si>
    <t>4523</t>
  </si>
  <si>
    <t>84Ω</t>
  </si>
  <si>
    <t>4524</t>
  </si>
  <si>
    <t>85Ω</t>
  </si>
  <si>
    <t>4525</t>
  </si>
  <si>
    <t>86Ω</t>
  </si>
  <si>
    <t>4526</t>
  </si>
  <si>
    <t>87Ω</t>
  </si>
  <si>
    <t>4527</t>
  </si>
  <si>
    <t>88Ω</t>
  </si>
  <si>
    <t>4529</t>
  </si>
  <si>
    <t>89Ω</t>
  </si>
  <si>
    <t>4530</t>
  </si>
  <si>
    <t>90Ω</t>
  </si>
  <si>
    <t>4531</t>
  </si>
  <si>
    <t>91Ω</t>
  </si>
  <si>
    <t>4532</t>
  </si>
  <si>
    <t>92Ω</t>
  </si>
  <si>
    <t>4533</t>
  </si>
  <si>
    <t>93Ω</t>
  </si>
  <si>
    <t>4534</t>
  </si>
  <si>
    <t>94Ω</t>
  </si>
  <si>
    <t>4535</t>
  </si>
  <si>
    <t>95Ω</t>
  </si>
  <si>
    <t>4536</t>
  </si>
  <si>
    <t>96Ω</t>
  </si>
  <si>
    <t>4537</t>
  </si>
  <si>
    <t>97Ω</t>
  </si>
  <si>
    <t>4538</t>
  </si>
  <si>
    <t>98Ω</t>
  </si>
  <si>
    <t>4539</t>
  </si>
  <si>
    <t>99Ω</t>
  </si>
  <si>
    <t>4540</t>
  </si>
  <si>
    <t>100Ω</t>
  </si>
  <si>
    <t>4541</t>
  </si>
  <si>
    <t>102B</t>
  </si>
  <si>
    <t>4601</t>
  </si>
  <si>
    <t>103B</t>
  </si>
  <si>
    <t>4603</t>
  </si>
  <si>
    <t>101Ω</t>
  </si>
  <si>
    <t>4604</t>
  </si>
  <si>
    <t>102Ω</t>
  </si>
  <si>
    <t>4605</t>
  </si>
  <si>
    <t>103Ω</t>
  </si>
  <si>
    <t>4606</t>
  </si>
  <si>
    <t>104Ω</t>
  </si>
  <si>
    <t>4607</t>
  </si>
  <si>
    <t>105Ω</t>
  </si>
  <si>
    <t>4608</t>
  </si>
  <si>
    <t>104B</t>
  </si>
  <si>
    <t>107Ω</t>
  </si>
  <si>
    <t>4611</t>
  </si>
  <si>
    <t>108Ω</t>
  </si>
  <si>
    <t>4612</t>
  </si>
  <si>
    <t>109Ω</t>
  </si>
  <si>
    <t>4613</t>
  </si>
  <si>
    <t>110Ω</t>
  </si>
  <si>
    <t>4614</t>
  </si>
  <si>
    <t>111Ω</t>
  </si>
  <si>
    <t>4615</t>
  </si>
  <si>
    <t>105B</t>
  </si>
  <si>
    <t>4616</t>
  </si>
  <si>
    <t>106B</t>
  </si>
  <si>
    <t>107B</t>
  </si>
  <si>
    <t>4618</t>
  </si>
  <si>
    <t>112Ω</t>
  </si>
  <si>
    <t>4619</t>
  </si>
  <si>
    <t>113Ω</t>
  </si>
  <si>
    <t>4620</t>
  </si>
  <si>
    <t>114Ω</t>
  </si>
  <si>
    <t>4621</t>
  </si>
  <si>
    <t>115Ω</t>
  </si>
  <si>
    <t>4622</t>
  </si>
  <si>
    <t>116Ω</t>
  </si>
  <si>
    <t>4623</t>
  </si>
  <si>
    <t>117Ω</t>
  </si>
  <si>
    <t>4625</t>
  </si>
  <si>
    <t>108B</t>
  </si>
  <si>
    <t>4626</t>
  </si>
  <si>
    <t>118Ω</t>
  </si>
  <si>
    <t>4627</t>
  </si>
  <si>
    <t>119Ω</t>
  </si>
  <si>
    <t>4628</t>
  </si>
  <si>
    <t>120Ω</t>
  </si>
  <si>
    <t>4629</t>
  </si>
  <si>
    <t>109B</t>
  </si>
  <si>
    <t>4630</t>
  </si>
  <si>
    <t>121Ω</t>
  </si>
  <si>
    <t>4631</t>
  </si>
  <si>
    <t>122Ω</t>
  </si>
  <si>
    <t>4632</t>
  </si>
  <si>
    <t>123Ω</t>
  </si>
  <si>
    <t>4633</t>
  </si>
  <si>
    <t>124Ω</t>
  </si>
  <si>
    <t>4634</t>
  </si>
  <si>
    <t>125Ω</t>
  </si>
  <si>
    <t>4635</t>
  </si>
  <si>
    <t>110B</t>
  </si>
  <si>
    <t>4636</t>
  </si>
  <si>
    <t>126Ω</t>
  </si>
  <si>
    <t>4637</t>
  </si>
  <si>
    <t>127Ω</t>
  </si>
  <si>
    <t>4638</t>
  </si>
  <si>
    <t>PlotID</t>
  </si>
  <si>
    <t>TreeID</t>
  </si>
  <si>
    <t>MoleculeID</t>
  </si>
  <si>
    <t>TotalFruitDrop</t>
  </si>
  <si>
    <t>SkirtedFruit_T1</t>
  </si>
  <si>
    <t>FruitDrop_T2</t>
  </si>
  <si>
    <t>TotalFruit</t>
  </si>
  <si>
    <t>PctFruitDrop</t>
  </si>
  <si>
    <t>FruitDrop_T1</t>
  </si>
  <si>
    <t>TotalSorterFruit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</si>
</sst>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3FC4E"/>
        <bgColor indexed="64"/>
      </patternFill>
    </fill>
    <fill>
      <patternFill patternType="solid">
        <fgColor rgb="FFFF0088"/>
        <bgColor indexed="64"/>
      </patternFill>
    </fill>
    <fill>
      <patternFill patternType="solid">
        <fgColor rgb="FFFC2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B8F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</cellXfs>
  <cellStyles count="1">
    <cellStyle name="Normal" xfId="0" builtinId="0"/>
  </cellStyles>
  <dxfs count="303">
    <dxf>
      <font>
        <b/>
        <i val="0"/>
      </font>
      <fill>
        <patternFill>
          <bgColor theme="7" tint="-0.49998474074526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ill>
        <patternFill>
          <bgColor rgb="FF53C7EB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DFF"/>
        </patternFill>
      </fill>
    </dxf>
    <dxf>
      <fill>
        <patternFill>
          <bgColor theme="8" tint="0.79998168889431442"/>
        </patternFill>
      </fill>
    </dxf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D399BE"/>
        </patternFill>
      </fill>
    </dxf>
    <dxf>
      <fill>
        <patternFill>
          <bgColor rgb="FF69B372"/>
        </patternFill>
      </fill>
    </dxf>
    <dxf>
      <fill>
        <patternFill>
          <bgColor rgb="FF00FF49"/>
        </patternFill>
      </fill>
    </dxf>
    <dxf>
      <fill>
        <patternFill>
          <bgColor rgb="FFF83A90"/>
        </patternFill>
      </fill>
    </dxf>
    <dxf>
      <fill>
        <patternFill>
          <bgColor rgb="FFFF0000"/>
        </patternFill>
      </fill>
    </dxf>
    <dxf>
      <fill>
        <patternFill>
          <bgColor rgb="FF996600"/>
        </patternFill>
      </fill>
    </dxf>
    <dxf>
      <fill>
        <patternFill>
          <bgColor rgb="FFFF6699"/>
        </patternFill>
      </fill>
    </dxf>
    <dxf>
      <fill>
        <patternFill>
          <bgColor rgb="FF66CCFF"/>
        </patternFill>
      </fill>
    </dxf>
    <dxf>
      <fill>
        <patternFill>
          <bgColor rgb="FF669900"/>
        </patternFill>
      </fill>
    </dxf>
    <dxf>
      <fill>
        <patternFill>
          <bgColor theme="5"/>
        </patternFill>
      </fill>
    </dxf>
    <dxf>
      <fill>
        <patternFill>
          <bgColor theme="8" tint="0.79998168889431442"/>
        </patternFill>
      </fill>
    </dxf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D399BE"/>
        </patternFill>
      </fill>
    </dxf>
    <dxf>
      <fill>
        <patternFill>
          <bgColor rgb="FF69B372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0FDFF"/>
        </patternFill>
      </fill>
    </dxf>
    <dxf>
      <fill>
        <patternFill>
          <bgColor rgb="FF00FF49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0432FF"/>
        </patternFill>
      </fill>
    </dxf>
    <dxf>
      <fill>
        <patternFill>
          <bgColor theme="9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A200A2"/>
        </patternFill>
      </fill>
    </dxf>
    <dxf>
      <fill>
        <patternFill>
          <bgColor rgb="FFB2B2B2"/>
        </patternFill>
      </fill>
    </dxf>
    <dxf>
      <fill>
        <patternFill>
          <bgColor theme="5"/>
        </patternFill>
      </fill>
    </dxf>
    <dxf>
      <fill>
        <patternFill>
          <bgColor rgb="FF006600"/>
        </patternFill>
      </fill>
    </dxf>
    <dxf>
      <fill>
        <patternFill>
          <bgColor rgb="FFE62C00"/>
        </patternFill>
      </fill>
    </dxf>
    <dxf>
      <fill>
        <patternFill>
          <bgColor rgb="FF004FC4"/>
        </patternFill>
      </fill>
    </dxf>
    <dxf>
      <fill>
        <patternFill>
          <bgColor rgb="FFFFFF66"/>
        </patternFill>
      </fill>
    </dxf>
    <dxf>
      <fill>
        <patternFill>
          <bgColor rgb="FFCC6600"/>
        </patternFill>
      </fill>
    </dxf>
    <dxf>
      <fill>
        <patternFill>
          <bgColor rgb="FF6699FF"/>
        </patternFill>
      </fill>
    </dxf>
    <dxf>
      <fill>
        <patternFill>
          <bgColor rgb="FF00CC66"/>
        </patternFill>
      </fill>
    </dxf>
    <dxf>
      <fill>
        <patternFill>
          <bgColor theme="7" tint="0.59996337778862885"/>
        </patternFill>
      </fill>
    </dxf>
    <dxf>
      <fill>
        <patternFill>
          <bgColor rgb="FFFF71B8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808000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rgb="FF0E807B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rgb="FFBB2727"/>
        </patternFill>
      </fill>
    </dxf>
    <dxf>
      <fill>
        <patternFill>
          <bgColor rgb="FFB889F7"/>
        </patternFill>
      </fill>
    </dxf>
    <dxf>
      <fill>
        <patternFill>
          <bgColor rgb="FF3061C2"/>
        </patternFill>
      </fill>
    </dxf>
    <dxf>
      <fill>
        <patternFill>
          <bgColor rgb="FFFF5050"/>
        </patternFill>
      </fill>
    </dxf>
    <dxf>
      <fill>
        <patternFill>
          <bgColor rgb="FFE7E200"/>
        </patternFill>
      </fill>
    </dxf>
    <dxf>
      <fill>
        <patternFill>
          <bgColor rgb="FFC0C0C0"/>
        </patternFill>
      </fill>
    </dxf>
    <dxf>
      <fill>
        <patternFill>
          <bgColor rgb="FFFD73E3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FFFF99"/>
        </patternFill>
      </fill>
    </dxf>
    <dxf>
      <fill>
        <patternFill>
          <bgColor rgb="FF53C7EB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theme="8" tint="0.79998168889431442"/>
        </patternFill>
      </fill>
    </dxf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D399BE"/>
        </patternFill>
      </fill>
    </dxf>
    <dxf>
      <fill>
        <patternFill>
          <bgColor rgb="FF69B372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rgb="FF698767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FF0088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DFF"/>
        </patternFill>
      </fill>
    </dxf>
    <dxf>
      <fill>
        <patternFill>
          <bgColor rgb="FF00FF4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5BA5-E44B-4E42-8AB1-E08520F3DDC4}">
  <dimension ref="A1:M265"/>
  <sheetViews>
    <sheetView tabSelected="1" workbookViewId="0">
      <selection activeCell="K1" sqref="K1"/>
    </sheetView>
  </sheetViews>
  <sheetFormatPr defaultColWidth="8.85546875" defaultRowHeight="15.75" x14ac:dyDescent="0.25"/>
  <cols>
    <col min="1" max="1" width="4" style="5" bestFit="1" customWidth="1"/>
    <col min="2" max="2" width="6.42578125" style="5" bestFit="1" customWidth="1"/>
    <col min="3" max="4" width="5.140625" style="5" bestFit="1" customWidth="1"/>
    <col min="5" max="5" width="6.85546875" style="25" bestFit="1" customWidth="1"/>
    <col min="6" max="6" width="12.7109375" style="5" customWidth="1"/>
    <col min="7" max="7" width="12.140625" style="5" bestFit="1" customWidth="1"/>
    <col min="8" max="8" width="18.140625" style="5" customWidth="1"/>
    <col min="9" max="9" width="17.28515625" style="5" customWidth="1"/>
    <col min="10" max="10" width="12.85546875" style="5" bestFit="1" customWidth="1"/>
    <col min="11" max="11" width="23.28515625" style="5" customWidth="1"/>
    <col min="12" max="12" width="12" style="5" customWidth="1"/>
    <col min="13" max="13" width="11.28515625" style="5" bestFit="1" customWidth="1"/>
    <col min="14" max="16384" width="8.85546875" style="5"/>
  </cols>
  <sheetData>
    <row r="1" spans="1:13" ht="15" customHeight="1" x14ac:dyDescent="0.25">
      <c r="A1" s="1" t="s">
        <v>0</v>
      </c>
      <c r="B1" s="1" t="s">
        <v>598</v>
      </c>
      <c r="C1" s="2" t="s">
        <v>1</v>
      </c>
      <c r="D1" s="2" t="s">
        <v>2</v>
      </c>
      <c r="E1" s="3" t="s">
        <v>599</v>
      </c>
      <c r="F1" s="4" t="s">
        <v>600</v>
      </c>
      <c r="G1" s="4" t="s">
        <v>606</v>
      </c>
      <c r="H1" s="4" t="s">
        <v>602</v>
      </c>
      <c r="I1" s="4" t="s">
        <v>603</v>
      </c>
      <c r="J1" s="4" t="s">
        <v>601</v>
      </c>
      <c r="K1" s="4" t="s">
        <v>607</v>
      </c>
      <c r="L1" s="4" t="s">
        <v>604</v>
      </c>
      <c r="M1" s="4" t="s">
        <v>605</v>
      </c>
    </row>
    <row r="2" spans="1:13" x14ac:dyDescent="0.25">
      <c r="A2" s="6" t="s">
        <v>3</v>
      </c>
      <c r="B2" s="6" t="s">
        <v>4</v>
      </c>
      <c r="C2" s="2">
        <v>39</v>
      </c>
      <c r="D2" s="2">
        <v>3</v>
      </c>
      <c r="E2" s="7" t="str">
        <f>C2&amp;"0"&amp;D2</f>
        <v>3903</v>
      </c>
      <c r="F2" s="2" t="s">
        <v>5</v>
      </c>
      <c r="G2" s="2">
        <v>0</v>
      </c>
      <c r="H2" s="2">
        <v>10</v>
      </c>
      <c r="I2" s="2">
        <v>10</v>
      </c>
      <c r="J2" s="2">
        <f t="shared" ref="J2:J65" si="0">G2+I2</f>
        <v>10</v>
      </c>
      <c r="K2" s="2">
        <v>162</v>
      </c>
      <c r="L2" s="2">
        <f t="shared" ref="L2:L33" si="1">H2+J2+K2</f>
        <v>182</v>
      </c>
      <c r="M2" s="8">
        <f t="shared" ref="M2:M65" si="2">J2/L2*100</f>
        <v>5.4945054945054945</v>
      </c>
    </row>
    <row r="3" spans="1:13" x14ac:dyDescent="0.25">
      <c r="A3" s="9" t="s">
        <v>6</v>
      </c>
      <c r="B3" s="9" t="s">
        <v>7</v>
      </c>
      <c r="C3" s="2">
        <v>39</v>
      </c>
      <c r="D3" s="2">
        <v>5</v>
      </c>
      <c r="E3" s="7" t="s">
        <v>8</v>
      </c>
      <c r="F3" s="2" t="s">
        <v>9</v>
      </c>
      <c r="G3" s="2">
        <v>12</v>
      </c>
      <c r="H3" s="2">
        <v>9</v>
      </c>
      <c r="I3" s="2">
        <v>9</v>
      </c>
      <c r="J3" s="2">
        <f t="shared" si="0"/>
        <v>21</v>
      </c>
      <c r="K3" s="2">
        <v>113</v>
      </c>
      <c r="L3" s="2">
        <f t="shared" si="1"/>
        <v>143</v>
      </c>
      <c r="M3" s="8">
        <f t="shared" si="2"/>
        <v>14.685314685314685</v>
      </c>
    </row>
    <row r="4" spans="1:13" x14ac:dyDescent="0.25">
      <c r="A4" s="9" t="s">
        <v>6</v>
      </c>
      <c r="B4" s="9" t="s">
        <v>10</v>
      </c>
      <c r="C4" s="2">
        <v>39</v>
      </c>
      <c r="D4" s="2">
        <v>6</v>
      </c>
      <c r="E4" s="7" t="s">
        <v>11</v>
      </c>
      <c r="F4" s="2" t="s">
        <v>12</v>
      </c>
      <c r="G4" s="2">
        <v>6</v>
      </c>
      <c r="H4" s="2">
        <v>21</v>
      </c>
      <c r="I4" s="2">
        <v>9</v>
      </c>
      <c r="J4" s="2">
        <f t="shared" si="0"/>
        <v>15</v>
      </c>
      <c r="K4" s="2">
        <v>252</v>
      </c>
      <c r="L4" s="2">
        <f t="shared" si="1"/>
        <v>288</v>
      </c>
      <c r="M4" s="8">
        <f t="shared" si="2"/>
        <v>5.2083333333333339</v>
      </c>
    </row>
    <row r="5" spans="1:13" x14ac:dyDescent="0.25">
      <c r="A5" s="6" t="s">
        <v>3</v>
      </c>
      <c r="B5" s="6" t="s">
        <v>13</v>
      </c>
      <c r="C5" s="2">
        <v>39</v>
      </c>
      <c r="D5" s="2">
        <v>11</v>
      </c>
      <c r="E5" s="7" t="str">
        <f>C5&amp;D5</f>
        <v>3911</v>
      </c>
      <c r="F5" s="2" t="s">
        <v>14</v>
      </c>
      <c r="G5" s="2">
        <v>13</v>
      </c>
      <c r="H5" s="2">
        <v>9</v>
      </c>
      <c r="I5" s="2">
        <v>9</v>
      </c>
      <c r="J5" s="2">
        <f t="shared" si="0"/>
        <v>22</v>
      </c>
      <c r="K5" s="2">
        <v>184</v>
      </c>
      <c r="L5" s="2">
        <f t="shared" si="1"/>
        <v>215</v>
      </c>
      <c r="M5" s="8">
        <f t="shared" si="2"/>
        <v>10.232558139534884</v>
      </c>
    </row>
    <row r="6" spans="1:13" x14ac:dyDescent="0.25">
      <c r="A6" s="10" t="s">
        <v>15</v>
      </c>
      <c r="B6" s="10" t="s">
        <v>16</v>
      </c>
      <c r="C6" s="2">
        <v>39</v>
      </c>
      <c r="D6" s="2">
        <v>18</v>
      </c>
      <c r="E6" s="7" t="s">
        <v>17</v>
      </c>
      <c r="F6" s="2" t="s">
        <v>18</v>
      </c>
      <c r="G6" s="2">
        <v>5</v>
      </c>
      <c r="H6" s="2">
        <v>9</v>
      </c>
      <c r="I6" s="2">
        <v>4</v>
      </c>
      <c r="J6" s="2">
        <f t="shared" si="0"/>
        <v>9</v>
      </c>
      <c r="K6" s="2">
        <v>154</v>
      </c>
      <c r="L6" s="2">
        <f t="shared" si="1"/>
        <v>172</v>
      </c>
      <c r="M6" s="8">
        <f t="shared" si="2"/>
        <v>5.2325581395348841</v>
      </c>
    </row>
    <row r="7" spans="1:13" x14ac:dyDescent="0.25">
      <c r="A7" s="11" t="s">
        <v>19</v>
      </c>
      <c r="B7" s="12" t="s">
        <v>20</v>
      </c>
      <c r="C7" s="2">
        <v>39</v>
      </c>
      <c r="D7" s="2">
        <v>19</v>
      </c>
      <c r="E7" s="7" t="s">
        <v>21</v>
      </c>
      <c r="F7" s="2" t="s">
        <v>22</v>
      </c>
      <c r="G7" s="2">
        <v>9</v>
      </c>
      <c r="H7" s="2">
        <v>5</v>
      </c>
      <c r="I7" s="2">
        <v>9</v>
      </c>
      <c r="J7" s="2">
        <f t="shared" si="0"/>
        <v>18</v>
      </c>
      <c r="K7" s="2">
        <v>229</v>
      </c>
      <c r="L7" s="2">
        <f t="shared" si="1"/>
        <v>252</v>
      </c>
      <c r="M7" s="8">
        <f t="shared" si="2"/>
        <v>7.1428571428571423</v>
      </c>
    </row>
    <row r="8" spans="1:13" x14ac:dyDescent="0.25">
      <c r="A8" s="9" t="s">
        <v>6</v>
      </c>
      <c r="B8" s="9" t="s">
        <v>23</v>
      </c>
      <c r="C8" s="2">
        <v>39</v>
      </c>
      <c r="D8" s="2">
        <v>20</v>
      </c>
      <c r="E8" s="7" t="s">
        <v>24</v>
      </c>
      <c r="F8" s="2" t="s">
        <v>25</v>
      </c>
      <c r="G8" s="2">
        <v>10</v>
      </c>
      <c r="H8" s="2">
        <v>9</v>
      </c>
      <c r="I8" s="2">
        <v>8</v>
      </c>
      <c r="J8" s="2">
        <f t="shared" si="0"/>
        <v>18</v>
      </c>
      <c r="K8" s="2">
        <v>161</v>
      </c>
      <c r="L8" s="2">
        <f t="shared" si="1"/>
        <v>188</v>
      </c>
      <c r="M8" s="8">
        <f t="shared" si="2"/>
        <v>9.5744680851063837</v>
      </c>
    </row>
    <row r="9" spans="1:13" x14ac:dyDescent="0.25">
      <c r="A9" s="13" t="s">
        <v>26</v>
      </c>
      <c r="B9" s="13" t="s">
        <v>27</v>
      </c>
      <c r="C9" s="2">
        <v>39</v>
      </c>
      <c r="D9" s="2">
        <v>21</v>
      </c>
      <c r="E9" s="7" t="s">
        <v>28</v>
      </c>
      <c r="F9" s="2" t="s">
        <v>29</v>
      </c>
      <c r="G9" s="2">
        <v>11</v>
      </c>
      <c r="H9" s="2">
        <v>8</v>
      </c>
      <c r="I9" s="2">
        <v>8</v>
      </c>
      <c r="J9" s="2">
        <f t="shared" si="0"/>
        <v>19</v>
      </c>
      <c r="K9" s="2">
        <v>74</v>
      </c>
      <c r="L9" s="2">
        <f t="shared" si="1"/>
        <v>101</v>
      </c>
      <c r="M9" s="8">
        <f t="shared" si="2"/>
        <v>18.811881188118811</v>
      </c>
    </row>
    <row r="10" spans="1:13" x14ac:dyDescent="0.25">
      <c r="A10" s="10" t="s">
        <v>15</v>
      </c>
      <c r="B10" s="10" t="s">
        <v>30</v>
      </c>
      <c r="C10" s="2">
        <v>39</v>
      </c>
      <c r="D10" s="2">
        <v>22</v>
      </c>
      <c r="E10" s="7" t="s">
        <v>31</v>
      </c>
      <c r="F10" s="2" t="s">
        <v>32</v>
      </c>
      <c r="G10" s="2">
        <v>8</v>
      </c>
      <c r="H10" s="2">
        <v>15</v>
      </c>
      <c r="I10" s="2">
        <v>9</v>
      </c>
      <c r="J10" s="2">
        <f t="shared" si="0"/>
        <v>17</v>
      </c>
      <c r="K10" s="2">
        <v>198</v>
      </c>
      <c r="L10" s="2">
        <f t="shared" si="1"/>
        <v>230</v>
      </c>
      <c r="M10" s="8">
        <f t="shared" si="2"/>
        <v>7.3913043478260869</v>
      </c>
    </row>
    <row r="11" spans="1:13" x14ac:dyDescent="0.25">
      <c r="A11" s="14" t="s">
        <v>33</v>
      </c>
      <c r="B11" s="15" t="s">
        <v>34</v>
      </c>
      <c r="C11" s="2">
        <v>39</v>
      </c>
      <c r="D11" s="2">
        <v>26</v>
      </c>
      <c r="E11" s="7" t="s">
        <v>35</v>
      </c>
      <c r="F11" s="2" t="s">
        <v>36</v>
      </c>
      <c r="G11" s="2">
        <v>0</v>
      </c>
      <c r="H11" s="2">
        <v>2</v>
      </c>
      <c r="I11" s="2">
        <v>6</v>
      </c>
      <c r="J11" s="2">
        <f t="shared" si="0"/>
        <v>6</v>
      </c>
      <c r="K11" s="2">
        <v>111</v>
      </c>
      <c r="L11" s="2">
        <f t="shared" si="1"/>
        <v>119</v>
      </c>
      <c r="M11" s="8">
        <f t="shared" si="2"/>
        <v>5.0420168067226889</v>
      </c>
    </row>
    <row r="12" spans="1:13" x14ac:dyDescent="0.25">
      <c r="A12" s="14" t="s">
        <v>33</v>
      </c>
      <c r="B12" s="15" t="s">
        <v>37</v>
      </c>
      <c r="C12" s="2">
        <v>39</v>
      </c>
      <c r="D12" s="2">
        <v>27</v>
      </c>
      <c r="E12" s="7" t="s">
        <v>38</v>
      </c>
      <c r="F12" s="2" t="s">
        <v>39</v>
      </c>
      <c r="G12" s="2">
        <v>2</v>
      </c>
      <c r="H12" s="2">
        <v>4</v>
      </c>
      <c r="I12" s="2">
        <v>3</v>
      </c>
      <c r="J12" s="2">
        <f t="shared" si="0"/>
        <v>5</v>
      </c>
      <c r="K12" s="2">
        <v>61</v>
      </c>
      <c r="L12" s="2">
        <f t="shared" si="1"/>
        <v>70</v>
      </c>
      <c r="M12" s="8">
        <f t="shared" si="2"/>
        <v>7.1428571428571423</v>
      </c>
    </row>
    <row r="13" spans="1:13" x14ac:dyDescent="0.25">
      <c r="A13" s="16" t="s">
        <v>40</v>
      </c>
      <c r="B13" s="16" t="s">
        <v>41</v>
      </c>
      <c r="C13" s="2">
        <v>39</v>
      </c>
      <c r="D13" s="2">
        <v>28</v>
      </c>
      <c r="E13" s="7" t="s">
        <v>42</v>
      </c>
      <c r="F13" s="2" t="s">
        <v>43</v>
      </c>
      <c r="G13" s="2">
        <v>6</v>
      </c>
      <c r="H13" s="2">
        <v>10</v>
      </c>
      <c r="I13" s="2">
        <v>13</v>
      </c>
      <c r="J13" s="2">
        <f t="shared" si="0"/>
        <v>19</v>
      </c>
      <c r="K13" s="2">
        <v>194</v>
      </c>
      <c r="L13" s="2">
        <f t="shared" si="1"/>
        <v>223</v>
      </c>
      <c r="M13" s="8">
        <f t="shared" si="2"/>
        <v>8.5201793721973083</v>
      </c>
    </row>
    <row r="14" spans="1:13" x14ac:dyDescent="0.25">
      <c r="A14" s="14" t="s">
        <v>33</v>
      </c>
      <c r="B14" s="15" t="s">
        <v>44</v>
      </c>
      <c r="C14" s="2">
        <v>39</v>
      </c>
      <c r="D14" s="2">
        <v>29</v>
      </c>
      <c r="E14" s="7" t="s">
        <v>45</v>
      </c>
      <c r="F14" s="2" t="s">
        <v>46</v>
      </c>
      <c r="G14" s="2">
        <v>4</v>
      </c>
      <c r="H14" s="2">
        <v>2</v>
      </c>
      <c r="I14" s="2">
        <v>5</v>
      </c>
      <c r="J14" s="2">
        <f t="shared" si="0"/>
        <v>9</v>
      </c>
      <c r="K14" s="2">
        <v>172</v>
      </c>
      <c r="L14" s="2">
        <f t="shared" si="1"/>
        <v>183</v>
      </c>
      <c r="M14" s="8">
        <f t="shared" si="2"/>
        <v>4.918032786885246</v>
      </c>
    </row>
    <row r="15" spans="1:13" x14ac:dyDescent="0.25">
      <c r="A15" s="14" t="s">
        <v>33</v>
      </c>
      <c r="B15" s="15" t="s">
        <v>47</v>
      </c>
      <c r="C15" s="2">
        <v>39</v>
      </c>
      <c r="D15" s="2">
        <v>33</v>
      </c>
      <c r="E15" s="7" t="s">
        <v>48</v>
      </c>
      <c r="F15" s="2" t="s">
        <v>49</v>
      </c>
      <c r="G15" s="2">
        <v>1</v>
      </c>
      <c r="H15" s="2">
        <v>7</v>
      </c>
      <c r="I15" s="2">
        <v>1</v>
      </c>
      <c r="J15" s="2">
        <f t="shared" si="0"/>
        <v>2</v>
      </c>
      <c r="K15" s="2">
        <v>60</v>
      </c>
      <c r="L15" s="2">
        <f t="shared" si="1"/>
        <v>69</v>
      </c>
      <c r="M15" s="8">
        <f t="shared" si="2"/>
        <v>2.8985507246376812</v>
      </c>
    </row>
    <row r="16" spans="1:13" x14ac:dyDescent="0.25">
      <c r="A16" s="10" t="s">
        <v>15</v>
      </c>
      <c r="B16" s="10" t="s">
        <v>50</v>
      </c>
      <c r="C16" s="2">
        <v>39</v>
      </c>
      <c r="D16" s="2">
        <v>34</v>
      </c>
      <c r="E16" s="7" t="s">
        <v>51</v>
      </c>
      <c r="F16" s="2" t="s">
        <v>52</v>
      </c>
      <c r="G16" s="2">
        <v>1</v>
      </c>
      <c r="H16" s="2">
        <v>1</v>
      </c>
      <c r="I16" s="2">
        <v>1</v>
      </c>
      <c r="J16" s="2">
        <f t="shared" si="0"/>
        <v>2</v>
      </c>
      <c r="K16" s="2">
        <v>38</v>
      </c>
      <c r="L16" s="2">
        <f t="shared" si="1"/>
        <v>41</v>
      </c>
      <c r="M16" s="8">
        <f t="shared" si="2"/>
        <v>4.8780487804878048</v>
      </c>
    </row>
    <row r="17" spans="1:13" x14ac:dyDescent="0.25">
      <c r="A17" s="10" t="s">
        <v>15</v>
      </c>
      <c r="B17" s="10" t="s">
        <v>53</v>
      </c>
      <c r="C17" s="2">
        <v>39</v>
      </c>
      <c r="D17" s="2">
        <v>35</v>
      </c>
      <c r="E17" s="7" t="s">
        <v>54</v>
      </c>
      <c r="F17" s="2" t="s">
        <v>55</v>
      </c>
      <c r="G17" s="2">
        <v>2</v>
      </c>
      <c r="H17" s="2">
        <v>3</v>
      </c>
      <c r="I17" s="2">
        <v>2</v>
      </c>
      <c r="J17" s="2">
        <f t="shared" si="0"/>
        <v>4</v>
      </c>
      <c r="K17" s="2">
        <v>104</v>
      </c>
      <c r="L17" s="2">
        <f t="shared" si="1"/>
        <v>111</v>
      </c>
      <c r="M17" s="8">
        <f t="shared" si="2"/>
        <v>3.6036036036036037</v>
      </c>
    </row>
    <row r="18" spans="1:13" x14ac:dyDescent="0.25">
      <c r="A18" s="13" t="s">
        <v>26</v>
      </c>
      <c r="B18" s="13" t="s">
        <v>56</v>
      </c>
      <c r="C18" s="2">
        <v>39</v>
      </c>
      <c r="D18" s="2">
        <v>39</v>
      </c>
      <c r="E18" s="7" t="s">
        <v>57</v>
      </c>
      <c r="F18" s="2" t="s">
        <v>58</v>
      </c>
      <c r="G18" s="2">
        <v>4</v>
      </c>
      <c r="H18" s="2">
        <v>6</v>
      </c>
      <c r="I18" s="2">
        <v>15</v>
      </c>
      <c r="J18" s="2">
        <f t="shared" si="0"/>
        <v>19</v>
      </c>
      <c r="K18" s="2">
        <v>117</v>
      </c>
      <c r="L18" s="2">
        <f t="shared" si="1"/>
        <v>142</v>
      </c>
      <c r="M18" s="8">
        <f t="shared" si="2"/>
        <v>13.380281690140844</v>
      </c>
    </row>
    <row r="19" spans="1:13" x14ac:dyDescent="0.25">
      <c r="A19" s="13" t="s">
        <v>26</v>
      </c>
      <c r="B19" s="13" t="s">
        <v>59</v>
      </c>
      <c r="C19" s="2">
        <v>39</v>
      </c>
      <c r="D19" s="2">
        <v>40</v>
      </c>
      <c r="E19" s="7" t="s">
        <v>60</v>
      </c>
      <c r="F19" s="2" t="s">
        <v>61</v>
      </c>
      <c r="G19" s="2">
        <v>6</v>
      </c>
      <c r="H19" s="2">
        <v>3</v>
      </c>
      <c r="I19" s="2">
        <v>7</v>
      </c>
      <c r="J19" s="2">
        <f t="shared" si="0"/>
        <v>13</v>
      </c>
      <c r="K19" s="2">
        <v>100</v>
      </c>
      <c r="L19" s="2">
        <f t="shared" si="1"/>
        <v>116</v>
      </c>
      <c r="M19" s="8">
        <f t="shared" si="2"/>
        <v>11.206896551724139</v>
      </c>
    </row>
    <row r="20" spans="1:13" x14ac:dyDescent="0.25">
      <c r="A20" s="6" t="s">
        <v>3</v>
      </c>
      <c r="B20" s="6" t="s">
        <v>62</v>
      </c>
      <c r="C20" s="2">
        <v>39</v>
      </c>
      <c r="D20" s="2">
        <v>41</v>
      </c>
      <c r="E20" s="7" t="str">
        <f>C20&amp;D20</f>
        <v>3941</v>
      </c>
      <c r="F20" s="2" t="s">
        <v>63</v>
      </c>
      <c r="G20" s="2">
        <v>7</v>
      </c>
      <c r="H20" s="2">
        <v>7</v>
      </c>
      <c r="I20" s="2">
        <v>7</v>
      </c>
      <c r="J20" s="2">
        <f t="shared" si="0"/>
        <v>14</v>
      </c>
      <c r="K20" s="2">
        <v>164</v>
      </c>
      <c r="L20" s="2">
        <f t="shared" si="1"/>
        <v>185</v>
      </c>
      <c r="M20" s="8">
        <f t="shared" si="2"/>
        <v>7.5675675675675684</v>
      </c>
    </row>
    <row r="21" spans="1:13" x14ac:dyDescent="0.25">
      <c r="A21" s="10" t="s">
        <v>15</v>
      </c>
      <c r="B21" s="10" t="s">
        <v>64</v>
      </c>
      <c r="C21" s="2">
        <v>40</v>
      </c>
      <c r="D21" s="2">
        <v>1</v>
      </c>
      <c r="E21" s="7" t="s">
        <v>65</v>
      </c>
      <c r="F21" s="2" t="s">
        <v>66</v>
      </c>
      <c r="G21" s="2">
        <v>10</v>
      </c>
      <c r="H21" s="2">
        <v>3</v>
      </c>
      <c r="I21" s="2">
        <v>12</v>
      </c>
      <c r="J21" s="2">
        <f t="shared" si="0"/>
        <v>22</v>
      </c>
      <c r="K21" s="2">
        <v>158</v>
      </c>
      <c r="L21" s="2">
        <f t="shared" si="1"/>
        <v>183</v>
      </c>
      <c r="M21" s="8">
        <f t="shared" si="2"/>
        <v>12.021857923497267</v>
      </c>
    </row>
    <row r="22" spans="1:13" x14ac:dyDescent="0.25">
      <c r="A22" s="6" t="s">
        <v>3</v>
      </c>
      <c r="B22" s="6" t="s">
        <v>67</v>
      </c>
      <c r="C22" s="2">
        <v>40</v>
      </c>
      <c r="D22" s="2">
        <v>2</v>
      </c>
      <c r="E22" s="7" t="str">
        <f>C22&amp;"0"&amp;D22</f>
        <v>4002</v>
      </c>
      <c r="F22" s="2" t="s">
        <v>68</v>
      </c>
      <c r="G22" s="2">
        <v>7</v>
      </c>
      <c r="H22" s="2">
        <v>7</v>
      </c>
      <c r="I22" s="2">
        <v>4</v>
      </c>
      <c r="J22" s="2">
        <f t="shared" si="0"/>
        <v>11</v>
      </c>
      <c r="K22" s="2">
        <v>99</v>
      </c>
      <c r="L22" s="2">
        <f t="shared" si="1"/>
        <v>117</v>
      </c>
      <c r="M22" s="8">
        <f t="shared" si="2"/>
        <v>9.4017094017094021</v>
      </c>
    </row>
    <row r="23" spans="1:13" x14ac:dyDescent="0.25">
      <c r="A23" s="11" t="s">
        <v>19</v>
      </c>
      <c r="B23" s="12" t="s">
        <v>69</v>
      </c>
      <c r="C23" s="2">
        <v>40</v>
      </c>
      <c r="D23" s="2">
        <v>4</v>
      </c>
      <c r="E23" s="7" t="s">
        <v>70</v>
      </c>
      <c r="F23" s="2" t="s">
        <v>71</v>
      </c>
      <c r="G23" s="2">
        <v>6</v>
      </c>
      <c r="H23" s="2">
        <v>2</v>
      </c>
      <c r="I23" s="2">
        <v>14</v>
      </c>
      <c r="J23" s="2">
        <f t="shared" si="0"/>
        <v>20</v>
      </c>
      <c r="K23" s="2">
        <v>78</v>
      </c>
      <c r="L23" s="2">
        <f t="shared" si="1"/>
        <v>100</v>
      </c>
      <c r="M23" s="8">
        <f t="shared" si="2"/>
        <v>20</v>
      </c>
    </row>
    <row r="24" spans="1:13" x14ac:dyDescent="0.25">
      <c r="A24" s="14" t="s">
        <v>33</v>
      </c>
      <c r="B24" s="15" t="s">
        <v>72</v>
      </c>
      <c r="C24" s="2">
        <v>40</v>
      </c>
      <c r="D24" s="2">
        <v>5</v>
      </c>
      <c r="E24" s="7" t="s">
        <v>73</v>
      </c>
      <c r="F24" s="2" t="s">
        <v>74</v>
      </c>
      <c r="G24" s="2">
        <v>7</v>
      </c>
      <c r="H24" s="2">
        <v>1</v>
      </c>
      <c r="I24" s="2">
        <v>13</v>
      </c>
      <c r="J24" s="2">
        <f t="shared" si="0"/>
        <v>20</v>
      </c>
      <c r="K24" s="2">
        <v>84</v>
      </c>
      <c r="L24" s="2">
        <f t="shared" si="1"/>
        <v>105</v>
      </c>
      <c r="M24" s="8">
        <f t="shared" si="2"/>
        <v>19.047619047619047</v>
      </c>
    </row>
    <row r="25" spans="1:13" x14ac:dyDescent="0.25">
      <c r="A25" s="14" t="s">
        <v>33</v>
      </c>
      <c r="B25" s="15" t="s">
        <v>75</v>
      </c>
      <c r="C25" s="2">
        <v>40</v>
      </c>
      <c r="D25" s="2">
        <v>20</v>
      </c>
      <c r="E25" s="7" t="s">
        <v>76</v>
      </c>
      <c r="F25" s="2" t="s">
        <v>77</v>
      </c>
      <c r="G25" s="2">
        <v>2</v>
      </c>
      <c r="H25" s="2">
        <v>7</v>
      </c>
      <c r="I25" s="2">
        <v>6</v>
      </c>
      <c r="J25" s="2">
        <f t="shared" si="0"/>
        <v>8</v>
      </c>
      <c r="K25" s="2">
        <v>95</v>
      </c>
      <c r="L25" s="2">
        <f t="shared" si="1"/>
        <v>110</v>
      </c>
      <c r="M25" s="8">
        <f t="shared" si="2"/>
        <v>7.2727272727272725</v>
      </c>
    </row>
    <row r="26" spans="1:13" x14ac:dyDescent="0.25">
      <c r="A26" s="16" t="s">
        <v>40</v>
      </c>
      <c r="B26" s="16" t="s">
        <v>78</v>
      </c>
      <c r="C26" s="2">
        <v>40</v>
      </c>
      <c r="D26" s="2">
        <v>21</v>
      </c>
      <c r="E26" s="7" t="s">
        <v>79</v>
      </c>
      <c r="F26" s="2" t="s">
        <v>80</v>
      </c>
      <c r="G26" s="2">
        <v>4</v>
      </c>
      <c r="H26" s="2">
        <v>11</v>
      </c>
      <c r="I26" s="2">
        <v>5</v>
      </c>
      <c r="J26" s="2">
        <f t="shared" si="0"/>
        <v>9</v>
      </c>
      <c r="K26" s="2">
        <v>148</v>
      </c>
      <c r="L26" s="2">
        <f t="shared" si="1"/>
        <v>168</v>
      </c>
      <c r="M26" s="8">
        <f t="shared" si="2"/>
        <v>5.3571428571428568</v>
      </c>
    </row>
    <row r="27" spans="1:13" x14ac:dyDescent="0.25">
      <c r="A27" s="16" t="s">
        <v>40</v>
      </c>
      <c r="B27" s="16" t="s">
        <v>81</v>
      </c>
      <c r="C27" s="2">
        <v>40</v>
      </c>
      <c r="D27" s="2">
        <v>22</v>
      </c>
      <c r="E27" s="7" t="s">
        <v>82</v>
      </c>
      <c r="F27" s="2" t="s">
        <v>83</v>
      </c>
      <c r="G27" s="2">
        <v>5</v>
      </c>
      <c r="H27" s="2">
        <v>4</v>
      </c>
      <c r="I27" s="2">
        <v>9</v>
      </c>
      <c r="J27" s="2">
        <f t="shared" si="0"/>
        <v>14</v>
      </c>
      <c r="K27" s="2">
        <v>185</v>
      </c>
      <c r="L27" s="2">
        <f t="shared" si="1"/>
        <v>203</v>
      </c>
      <c r="M27" s="8">
        <f t="shared" si="2"/>
        <v>6.8965517241379306</v>
      </c>
    </row>
    <row r="28" spans="1:13" x14ac:dyDescent="0.25">
      <c r="A28" s="14" t="s">
        <v>33</v>
      </c>
      <c r="B28" s="15" t="s">
        <v>84</v>
      </c>
      <c r="C28" s="2">
        <v>40</v>
      </c>
      <c r="D28" s="2">
        <v>23</v>
      </c>
      <c r="E28" s="7" t="s">
        <v>85</v>
      </c>
      <c r="F28" s="2" t="s">
        <v>86</v>
      </c>
      <c r="G28" s="2">
        <v>5</v>
      </c>
      <c r="H28" s="2">
        <v>11</v>
      </c>
      <c r="I28" s="2">
        <v>9</v>
      </c>
      <c r="J28" s="2">
        <f t="shared" si="0"/>
        <v>14</v>
      </c>
      <c r="K28" s="2">
        <v>145</v>
      </c>
      <c r="L28" s="2">
        <f t="shared" si="1"/>
        <v>170</v>
      </c>
      <c r="M28" s="8">
        <f t="shared" si="2"/>
        <v>8.235294117647058</v>
      </c>
    </row>
    <row r="29" spans="1:13" x14ac:dyDescent="0.25">
      <c r="A29" s="11" t="s">
        <v>19</v>
      </c>
      <c r="B29" s="12" t="s">
        <v>87</v>
      </c>
      <c r="C29" s="2">
        <v>40</v>
      </c>
      <c r="D29" s="2">
        <v>24</v>
      </c>
      <c r="E29" s="7" t="s">
        <v>88</v>
      </c>
      <c r="F29" s="2" t="s">
        <v>89</v>
      </c>
      <c r="G29" s="2">
        <v>1</v>
      </c>
      <c r="H29" s="2">
        <v>6</v>
      </c>
      <c r="I29" s="2">
        <v>5</v>
      </c>
      <c r="J29" s="2">
        <f t="shared" si="0"/>
        <v>6</v>
      </c>
      <c r="K29" s="2">
        <v>76</v>
      </c>
      <c r="L29" s="2">
        <f t="shared" si="1"/>
        <v>88</v>
      </c>
      <c r="M29" s="8">
        <f t="shared" si="2"/>
        <v>6.8181818181818175</v>
      </c>
    </row>
    <row r="30" spans="1:13" x14ac:dyDescent="0.25">
      <c r="A30" s="16" t="s">
        <v>40</v>
      </c>
      <c r="B30" s="16" t="s">
        <v>90</v>
      </c>
      <c r="C30" s="2">
        <v>40</v>
      </c>
      <c r="D30" s="2">
        <v>25</v>
      </c>
      <c r="E30" s="7" t="s">
        <v>91</v>
      </c>
      <c r="F30" s="2" t="s">
        <v>92</v>
      </c>
      <c r="G30" s="2">
        <v>3</v>
      </c>
      <c r="H30" s="2">
        <v>26</v>
      </c>
      <c r="I30" s="2">
        <v>8</v>
      </c>
      <c r="J30" s="2">
        <f t="shared" si="0"/>
        <v>11</v>
      </c>
      <c r="K30" s="2">
        <v>168</v>
      </c>
      <c r="L30" s="2">
        <f t="shared" si="1"/>
        <v>205</v>
      </c>
      <c r="M30" s="8">
        <f t="shared" si="2"/>
        <v>5.3658536585365857</v>
      </c>
    </row>
    <row r="31" spans="1:13" x14ac:dyDescent="0.25">
      <c r="A31" s="9" t="s">
        <v>6</v>
      </c>
      <c r="B31" s="9" t="s">
        <v>93</v>
      </c>
      <c r="C31" s="2">
        <v>40</v>
      </c>
      <c r="D31" s="2">
        <v>26</v>
      </c>
      <c r="E31" s="7" t="s">
        <v>94</v>
      </c>
      <c r="F31" s="2" t="s">
        <v>95</v>
      </c>
      <c r="G31" s="2">
        <v>3</v>
      </c>
      <c r="H31" s="2">
        <v>4</v>
      </c>
      <c r="I31" s="2">
        <v>1</v>
      </c>
      <c r="J31" s="2">
        <f t="shared" si="0"/>
        <v>4</v>
      </c>
      <c r="K31" s="2">
        <v>107</v>
      </c>
      <c r="L31" s="2">
        <f t="shared" si="1"/>
        <v>115</v>
      </c>
      <c r="M31" s="8">
        <f t="shared" si="2"/>
        <v>3.4782608695652173</v>
      </c>
    </row>
    <row r="32" spans="1:13" x14ac:dyDescent="0.25">
      <c r="A32" s="9" t="s">
        <v>6</v>
      </c>
      <c r="B32" s="9" t="s">
        <v>96</v>
      </c>
      <c r="C32" s="2">
        <v>40</v>
      </c>
      <c r="D32" s="2">
        <v>28</v>
      </c>
      <c r="E32" s="7" t="s">
        <v>97</v>
      </c>
      <c r="F32" s="2" t="s">
        <v>98</v>
      </c>
      <c r="G32" s="2">
        <v>3</v>
      </c>
      <c r="H32" s="2">
        <v>16</v>
      </c>
      <c r="I32" s="2">
        <v>6</v>
      </c>
      <c r="J32" s="2">
        <f t="shared" si="0"/>
        <v>9</v>
      </c>
      <c r="K32" s="2">
        <v>165</v>
      </c>
      <c r="L32" s="2">
        <f t="shared" si="1"/>
        <v>190</v>
      </c>
      <c r="M32" s="8">
        <f t="shared" si="2"/>
        <v>4.7368421052631584</v>
      </c>
    </row>
    <row r="33" spans="1:13" x14ac:dyDescent="0.25">
      <c r="A33" s="14" t="s">
        <v>33</v>
      </c>
      <c r="B33" s="15" t="s">
        <v>99</v>
      </c>
      <c r="C33" s="2">
        <v>40</v>
      </c>
      <c r="D33" s="2">
        <v>29</v>
      </c>
      <c r="E33" s="7" t="s">
        <v>100</v>
      </c>
      <c r="F33" s="2" t="s">
        <v>101</v>
      </c>
      <c r="G33" s="2">
        <v>1</v>
      </c>
      <c r="H33" s="2">
        <v>24</v>
      </c>
      <c r="I33" s="2">
        <v>2</v>
      </c>
      <c r="J33" s="2">
        <f t="shared" si="0"/>
        <v>3</v>
      </c>
      <c r="K33" s="2">
        <v>166</v>
      </c>
      <c r="L33" s="2">
        <f t="shared" si="1"/>
        <v>193</v>
      </c>
      <c r="M33" s="8">
        <f t="shared" si="2"/>
        <v>1.5544041450777202</v>
      </c>
    </row>
    <row r="34" spans="1:13" x14ac:dyDescent="0.25">
      <c r="A34" s="10" t="s">
        <v>15</v>
      </c>
      <c r="B34" s="10" t="s">
        <v>102</v>
      </c>
      <c r="C34" s="2">
        <v>40</v>
      </c>
      <c r="D34" s="2">
        <v>33</v>
      </c>
      <c r="E34" s="7" t="s">
        <v>103</v>
      </c>
      <c r="F34" s="2" t="s">
        <v>104</v>
      </c>
      <c r="G34" s="2">
        <v>2</v>
      </c>
      <c r="H34" s="2">
        <v>4</v>
      </c>
      <c r="I34" s="2">
        <v>4</v>
      </c>
      <c r="J34" s="2">
        <f t="shared" si="0"/>
        <v>6</v>
      </c>
      <c r="K34" s="2">
        <v>112</v>
      </c>
      <c r="L34" s="2">
        <f t="shared" ref="L34:L65" si="3">H34+J34+K34</f>
        <v>122</v>
      </c>
      <c r="M34" s="8">
        <f t="shared" si="2"/>
        <v>4.918032786885246</v>
      </c>
    </row>
    <row r="35" spans="1:13" x14ac:dyDescent="0.25">
      <c r="A35" s="6" t="s">
        <v>3</v>
      </c>
      <c r="B35" s="6" t="s">
        <v>105</v>
      </c>
      <c r="C35" s="2">
        <v>40</v>
      </c>
      <c r="D35" s="2">
        <v>34</v>
      </c>
      <c r="E35" s="7" t="str">
        <f>C35&amp;D35</f>
        <v>4034</v>
      </c>
      <c r="F35" s="2" t="s">
        <v>106</v>
      </c>
      <c r="G35" s="2">
        <v>4</v>
      </c>
      <c r="H35" s="2">
        <v>4</v>
      </c>
      <c r="I35" s="2">
        <v>3</v>
      </c>
      <c r="J35" s="2">
        <f t="shared" si="0"/>
        <v>7</v>
      </c>
      <c r="K35" s="2">
        <v>117</v>
      </c>
      <c r="L35" s="2">
        <f t="shared" si="3"/>
        <v>128</v>
      </c>
      <c r="M35" s="8">
        <f t="shared" si="2"/>
        <v>5.46875</v>
      </c>
    </row>
    <row r="36" spans="1:13" x14ac:dyDescent="0.25">
      <c r="A36" s="10" t="s">
        <v>15</v>
      </c>
      <c r="B36" s="10" t="s">
        <v>107</v>
      </c>
      <c r="C36" s="2">
        <v>40</v>
      </c>
      <c r="D36" s="2">
        <v>35</v>
      </c>
      <c r="E36" s="7" t="s">
        <v>108</v>
      </c>
      <c r="F36" s="2" t="s">
        <v>109</v>
      </c>
      <c r="G36" s="2">
        <v>3</v>
      </c>
      <c r="H36" s="2">
        <v>1</v>
      </c>
      <c r="I36" s="2">
        <v>2</v>
      </c>
      <c r="J36" s="2">
        <f t="shared" si="0"/>
        <v>5</v>
      </c>
      <c r="K36" s="2">
        <v>179</v>
      </c>
      <c r="L36" s="2">
        <f t="shared" si="3"/>
        <v>185</v>
      </c>
      <c r="M36" s="8">
        <f t="shared" si="2"/>
        <v>2.7027027027027026</v>
      </c>
    </row>
    <row r="37" spans="1:13" x14ac:dyDescent="0.25">
      <c r="A37" s="10" t="s">
        <v>15</v>
      </c>
      <c r="B37" s="10" t="s">
        <v>110</v>
      </c>
      <c r="C37" s="2">
        <v>40</v>
      </c>
      <c r="D37" s="2">
        <v>40</v>
      </c>
      <c r="E37" s="7" t="s">
        <v>111</v>
      </c>
      <c r="F37" s="2" t="s">
        <v>112</v>
      </c>
      <c r="G37" s="2">
        <v>8</v>
      </c>
      <c r="H37" s="2">
        <v>9</v>
      </c>
      <c r="I37" s="2">
        <v>1</v>
      </c>
      <c r="J37" s="2">
        <f t="shared" si="0"/>
        <v>9</v>
      </c>
      <c r="K37" s="2">
        <v>162</v>
      </c>
      <c r="L37" s="2">
        <f t="shared" si="3"/>
        <v>180</v>
      </c>
      <c r="M37" s="8">
        <f t="shared" si="2"/>
        <v>5</v>
      </c>
    </row>
    <row r="38" spans="1:13" x14ac:dyDescent="0.25">
      <c r="A38" s="9" t="s">
        <v>6</v>
      </c>
      <c r="B38" s="9" t="s">
        <v>113</v>
      </c>
      <c r="C38" s="2">
        <v>40</v>
      </c>
      <c r="D38" s="2">
        <v>41</v>
      </c>
      <c r="E38" s="7" t="s">
        <v>114</v>
      </c>
      <c r="F38" s="2" t="s">
        <v>115</v>
      </c>
      <c r="G38" s="2">
        <v>4</v>
      </c>
      <c r="H38" s="2">
        <v>11</v>
      </c>
      <c r="I38" s="2">
        <v>3</v>
      </c>
      <c r="J38" s="2">
        <f t="shared" si="0"/>
        <v>7</v>
      </c>
      <c r="K38" s="2">
        <v>219</v>
      </c>
      <c r="L38" s="2">
        <f t="shared" si="3"/>
        <v>237</v>
      </c>
      <c r="M38" s="8">
        <f t="shared" si="2"/>
        <v>2.9535864978902953</v>
      </c>
    </row>
    <row r="39" spans="1:13" x14ac:dyDescent="0.25">
      <c r="A39" s="16" t="s">
        <v>40</v>
      </c>
      <c r="B39" s="17" t="s">
        <v>116</v>
      </c>
      <c r="C39" s="18">
        <v>41</v>
      </c>
      <c r="D39" s="18">
        <v>1</v>
      </c>
      <c r="E39" s="19" t="s">
        <v>117</v>
      </c>
      <c r="F39" s="2" t="s">
        <v>118</v>
      </c>
      <c r="G39" s="20">
        <v>10</v>
      </c>
      <c r="H39" s="20">
        <v>39</v>
      </c>
      <c r="I39" s="20">
        <v>9</v>
      </c>
      <c r="J39" s="2">
        <f t="shared" si="0"/>
        <v>19</v>
      </c>
      <c r="K39" s="2">
        <v>156</v>
      </c>
      <c r="L39" s="2">
        <f t="shared" si="3"/>
        <v>214</v>
      </c>
      <c r="M39" s="8">
        <f t="shared" si="2"/>
        <v>8.8785046728971952</v>
      </c>
    </row>
    <row r="40" spans="1:13" x14ac:dyDescent="0.25">
      <c r="A40" s="13" t="s">
        <v>26</v>
      </c>
      <c r="B40" s="13" t="s">
        <v>119</v>
      </c>
      <c r="C40" s="2">
        <v>41</v>
      </c>
      <c r="D40" s="2">
        <v>2</v>
      </c>
      <c r="E40" s="7" t="s">
        <v>120</v>
      </c>
      <c r="F40" s="2" t="s">
        <v>121</v>
      </c>
      <c r="G40" s="2">
        <v>7</v>
      </c>
      <c r="H40" s="2">
        <v>24</v>
      </c>
      <c r="I40" s="2">
        <v>4</v>
      </c>
      <c r="J40" s="2">
        <f t="shared" si="0"/>
        <v>11</v>
      </c>
      <c r="K40" s="2">
        <v>131</v>
      </c>
      <c r="L40" s="2">
        <f t="shared" si="3"/>
        <v>166</v>
      </c>
      <c r="M40" s="8">
        <f t="shared" si="2"/>
        <v>6.6265060240963862</v>
      </c>
    </row>
    <row r="41" spans="1:13" x14ac:dyDescent="0.25">
      <c r="A41" s="6" t="s">
        <v>3</v>
      </c>
      <c r="B41" s="6" t="s">
        <v>122</v>
      </c>
      <c r="C41" s="2">
        <v>41</v>
      </c>
      <c r="D41" s="2">
        <v>3</v>
      </c>
      <c r="E41" s="7" t="str">
        <f>C41&amp;"0"&amp;D41</f>
        <v>4103</v>
      </c>
      <c r="F41" s="2" t="s">
        <v>123</v>
      </c>
      <c r="G41" s="2">
        <v>2</v>
      </c>
      <c r="H41" s="2">
        <v>32</v>
      </c>
      <c r="I41" s="2">
        <v>5</v>
      </c>
      <c r="J41" s="2">
        <f t="shared" si="0"/>
        <v>7</v>
      </c>
      <c r="K41" s="2">
        <v>160</v>
      </c>
      <c r="L41" s="2">
        <f t="shared" si="3"/>
        <v>199</v>
      </c>
      <c r="M41" s="8">
        <f t="shared" si="2"/>
        <v>3.5175879396984926</v>
      </c>
    </row>
    <row r="42" spans="1:13" x14ac:dyDescent="0.25">
      <c r="A42" s="14" t="s">
        <v>33</v>
      </c>
      <c r="B42" s="15" t="s">
        <v>124</v>
      </c>
      <c r="C42" s="2">
        <v>41</v>
      </c>
      <c r="D42" s="2">
        <v>4</v>
      </c>
      <c r="E42" s="7" t="s">
        <v>125</v>
      </c>
      <c r="F42" s="2" t="s">
        <v>126</v>
      </c>
      <c r="G42" s="2">
        <v>4</v>
      </c>
      <c r="H42" s="2">
        <v>10</v>
      </c>
      <c r="I42" s="2">
        <v>11</v>
      </c>
      <c r="J42" s="2">
        <f t="shared" si="0"/>
        <v>15</v>
      </c>
      <c r="K42" s="2">
        <v>97</v>
      </c>
      <c r="L42" s="2">
        <f t="shared" si="3"/>
        <v>122</v>
      </c>
      <c r="M42" s="8">
        <f t="shared" si="2"/>
        <v>12.295081967213115</v>
      </c>
    </row>
    <row r="43" spans="1:13" x14ac:dyDescent="0.25">
      <c r="A43" s="6" t="s">
        <v>3</v>
      </c>
      <c r="B43" s="6" t="s">
        <v>127</v>
      </c>
      <c r="C43" s="2">
        <v>41</v>
      </c>
      <c r="D43" s="2">
        <v>5</v>
      </c>
      <c r="E43" s="7" t="str">
        <f>C43&amp;"0"&amp;D43</f>
        <v>4105</v>
      </c>
      <c r="F43" s="2" t="s">
        <v>128</v>
      </c>
      <c r="G43" s="2">
        <v>6</v>
      </c>
      <c r="H43" s="2">
        <v>10</v>
      </c>
      <c r="I43" s="2">
        <v>5</v>
      </c>
      <c r="J43" s="2">
        <f t="shared" si="0"/>
        <v>11</v>
      </c>
      <c r="K43" s="2">
        <v>101</v>
      </c>
      <c r="L43" s="2">
        <f t="shared" si="3"/>
        <v>122</v>
      </c>
      <c r="M43" s="8">
        <f t="shared" si="2"/>
        <v>9.0163934426229506</v>
      </c>
    </row>
    <row r="44" spans="1:13" x14ac:dyDescent="0.25">
      <c r="A44" s="13" t="s">
        <v>26</v>
      </c>
      <c r="B44" s="13" t="s">
        <v>129</v>
      </c>
      <c r="C44" s="2">
        <v>41</v>
      </c>
      <c r="D44" s="2">
        <v>6</v>
      </c>
      <c r="E44" s="7" t="s">
        <v>130</v>
      </c>
      <c r="F44" s="2" t="s">
        <v>131</v>
      </c>
      <c r="G44" s="2">
        <v>3</v>
      </c>
      <c r="H44" s="2">
        <v>6</v>
      </c>
      <c r="I44" s="2">
        <v>6</v>
      </c>
      <c r="J44" s="2">
        <f t="shared" si="0"/>
        <v>9</v>
      </c>
      <c r="K44" s="2">
        <v>157</v>
      </c>
      <c r="L44" s="2">
        <f t="shared" si="3"/>
        <v>172</v>
      </c>
      <c r="M44" s="8">
        <f t="shared" si="2"/>
        <v>5.2325581395348841</v>
      </c>
    </row>
    <row r="45" spans="1:13" x14ac:dyDescent="0.25">
      <c r="A45" s="14" t="s">
        <v>33</v>
      </c>
      <c r="B45" s="15" t="s">
        <v>132</v>
      </c>
      <c r="C45" s="2">
        <v>41</v>
      </c>
      <c r="D45" s="2">
        <v>7</v>
      </c>
      <c r="E45" s="7" t="s">
        <v>133</v>
      </c>
      <c r="F45" s="2" t="s">
        <v>134</v>
      </c>
      <c r="G45" s="2">
        <v>11</v>
      </c>
      <c r="H45" s="2">
        <v>21</v>
      </c>
      <c r="I45" s="2">
        <v>16</v>
      </c>
      <c r="J45" s="2">
        <f t="shared" si="0"/>
        <v>27</v>
      </c>
      <c r="K45" s="2">
        <v>159</v>
      </c>
      <c r="L45" s="2">
        <f t="shared" si="3"/>
        <v>207</v>
      </c>
      <c r="M45" s="8">
        <f t="shared" si="2"/>
        <v>13.043478260869565</v>
      </c>
    </row>
    <row r="46" spans="1:13" x14ac:dyDescent="0.25">
      <c r="A46" s="14" t="s">
        <v>33</v>
      </c>
      <c r="B46" s="15" t="s">
        <v>135</v>
      </c>
      <c r="C46" s="2">
        <v>41</v>
      </c>
      <c r="D46" s="2">
        <v>8</v>
      </c>
      <c r="E46" s="7" t="s">
        <v>136</v>
      </c>
      <c r="F46" s="2" t="s">
        <v>86</v>
      </c>
      <c r="G46" s="2">
        <v>8</v>
      </c>
      <c r="H46" s="2">
        <v>8</v>
      </c>
      <c r="I46" s="2">
        <v>9</v>
      </c>
      <c r="J46" s="2">
        <f t="shared" si="0"/>
        <v>17</v>
      </c>
      <c r="K46" s="2">
        <v>223</v>
      </c>
      <c r="L46" s="2">
        <f t="shared" si="3"/>
        <v>248</v>
      </c>
      <c r="M46" s="8">
        <f t="shared" si="2"/>
        <v>6.854838709677419</v>
      </c>
    </row>
    <row r="47" spans="1:13" x14ac:dyDescent="0.25">
      <c r="A47" s="16" t="s">
        <v>40</v>
      </c>
      <c r="B47" s="16" t="s">
        <v>137</v>
      </c>
      <c r="C47" s="2">
        <v>41</v>
      </c>
      <c r="D47" s="2">
        <v>9</v>
      </c>
      <c r="E47" s="7" t="s">
        <v>138</v>
      </c>
      <c r="F47" s="2" t="s">
        <v>139</v>
      </c>
      <c r="G47" s="2">
        <v>8</v>
      </c>
      <c r="H47" s="2">
        <v>5</v>
      </c>
      <c r="I47" s="2">
        <v>15</v>
      </c>
      <c r="J47" s="2">
        <f t="shared" si="0"/>
        <v>23</v>
      </c>
      <c r="K47" s="2">
        <v>258</v>
      </c>
      <c r="L47" s="2">
        <f t="shared" si="3"/>
        <v>286</v>
      </c>
      <c r="M47" s="8">
        <f t="shared" si="2"/>
        <v>8.0419580419580416</v>
      </c>
    </row>
    <row r="48" spans="1:13" x14ac:dyDescent="0.25">
      <c r="A48" s="9" t="s">
        <v>6</v>
      </c>
      <c r="B48" s="9" t="s">
        <v>140</v>
      </c>
      <c r="C48" s="2">
        <v>41</v>
      </c>
      <c r="D48" s="2">
        <v>14</v>
      </c>
      <c r="E48" s="7" t="s">
        <v>141</v>
      </c>
      <c r="F48" s="2" t="s">
        <v>142</v>
      </c>
      <c r="G48" s="2">
        <v>11</v>
      </c>
      <c r="H48" s="2">
        <v>6</v>
      </c>
      <c r="I48" s="2">
        <v>10</v>
      </c>
      <c r="J48" s="2">
        <f t="shared" si="0"/>
        <v>21</v>
      </c>
      <c r="K48" s="2">
        <v>130</v>
      </c>
      <c r="L48" s="2">
        <f t="shared" si="3"/>
        <v>157</v>
      </c>
      <c r="M48" s="8">
        <f t="shared" si="2"/>
        <v>13.375796178343949</v>
      </c>
    </row>
    <row r="49" spans="1:13" x14ac:dyDescent="0.25">
      <c r="A49" s="14" t="s">
        <v>33</v>
      </c>
      <c r="B49" s="15" t="s">
        <v>143</v>
      </c>
      <c r="C49" s="2">
        <v>41</v>
      </c>
      <c r="D49" s="2">
        <v>15</v>
      </c>
      <c r="E49" s="7" t="s">
        <v>144</v>
      </c>
      <c r="F49" s="2" t="s">
        <v>49</v>
      </c>
      <c r="G49" s="2">
        <v>7</v>
      </c>
      <c r="H49" s="2">
        <v>23</v>
      </c>
      <c r="I49" s="2">
        <v>7</v>
      </c>
      <c r="J49" s="2">
        <f t="shared" si="0"/>
        <v>14</v>
      </c>
      <c r="K49" s="2">
        <v>194</v>
      </c>
      <c r="L49" s="2">
        <f t="shared" si="3"/>
        <v>231</v>
      </c>
      <c r="M49" s="8">
        <f t="shared" si="2"/>
        <v>6.0606060606060606</v>
      </c>
    </row>
    <row r="50" spans="1:13" x14ac:dyDescent="0.25">
      <c r="A50" s="10" t="s">
        <v>15</v>
      </c>
      <c r="B50" s="10" t="s">
        <v>145</v>
      </c>
      <c r="C50" s="2">
        <v>41</v>
      </c>
      <c r="D50" s="2">
        <v>16</v>
      </c>
      <c r="E50" s="7" t="s">
        <v>146</v>
      </c>
      <c r="F50" s="2" t="s">
        <v>147</v>
      </c>
      <c r="G50" s="2">
        <v>6</v>
      </c>
      <c r="H50" s="2">
        <v>25</v>
      </c>
      <c r="I50" s="2">
        <v>6</v>
      </c>
      <c r="J50" s="2">
        <f t="shared" si="0"/>
        <v>12</v>
      </c>
      <c r="K50" s="2">
        <v>227</v>
      </c>
      <c r="L50" s="2">
        <f t="shared" si="3"/>
        <v>264</v>
      </c>
      <c r="M50" s="8">
        <f t="shared" si="2"/>
        <v>4.5454545454545459</v>
      </c>
    </row>
    <row r="51" spans="1:13" x14ac:dyDescent="0.25">
      <c r="A51" s="10" t="s">
        <v>15</v>
      </c>
      <c r="B51" s="10" t="s">
        <v>148</v>
      </c>
      <c r="C51" s="2">
        <v>41</v>
      </c>
      <c r="D51" s="2">
        <v>17</v>
      </c>
      <c r="E51" s="7" t="s">
        <v>149</v>
      </c>
      <c r="F51" s="2" t="s">
        <v>150</v>
      </c>
      <c r="G51" s="2">
        <v>1</v>
      </c>
      <c r="H51" s="2">
        <v>13</v>
      </c>
      <c r="I51" s="2">
        <v>3</v>
      </c>
      <c r="J51" s="2">
        <f t="shared" si="0"/>
        <v>4</v>
      </c>
      <c r="K51" s="2">
        <v>180</v>
      </c>
      <c r="L51" s="2">
        <f t="shared" si="3"/>
        <v>197</v>
      </c>
      <c r="M51" s="8">
        <f t="shared" si="2"/>
        <v>2.030456852791878</v>
      </c>
    </row>
    <row r="52" spans="1:13" x14ac:dyDescent="0.25">
      <c r="A52" s="6" t="s">
        <v>3</v>
      </c>
      <c r="B52" s="6" t="s">
        <v>151</v>
      </c>
      <c r="C52" s="2">
        <v>41</v>
      </c>
      <c r="D52" s="2">
        <v>18</v>
      </c>
      <c r="E52" s="7" t="str">
        <f>C52&amp;D52</f>
        <v>4118</v>
      </c>
      <c r="F52" s="2" t="s">
        <v>152</v>
      </c>
      <c r="G52" s="2">
        <v>1</v>
      </c>
      <c r="H52" s="2">
        <v>1</v>
      </c>
      <c r="I52" s="2">
        <v>4</v>
      </c>
      <c r="J52" s="2">
        <f t="shared" si="0"/>
        <v>5</v>
      </c>
      <c r="K52" s="2">
        <v>110</v>
      </c>
      <c r="L52" s="2">
        <f t="shared" si="3"/>
        <v>116</v>
      </c>
      <c r="M52" s="8">
        <f t="shared" si="2"/>
        <v>4.3103448275862073</v>
      </c>
    </row>
    <row r="53" spans="1:13" x14ac:dyDescent="0.25">
      <c r="A53" s="9" t="s">
        <v>6</v>
      </c>
      <c r="B53" s="9" t="s">
        <v>153</v>
      </c>
      <c r="C53" s="2">
        <v>41</v>
      </c>
      <c r="D53" s="2">
        <v>20</v>
      </c>
      <c r="E53" s="7" t="s">
        <v>154</v>
      </c>
      <c r="F53" s="2" t="s">
        <v>155</v>
      </c>
      <c r="G53" s="2">
        <v>11</v>
      </c>
      <c r="H53" s="2">
        <v>10</v>
      </c>
      <c r="I53" s="2">
        <v>7</v>
      </c>
      <c r="J53" s="2">
        <f t="shared" si="0"/>
        <v>18</v>
      </c>
      <c r="K53" s="2">
        <v>141</v>
      </c>
      <c r="L53" s="2">
        <f t="shared" si="3"/>
        <v>169</v>
      </c>
      <c r="M53" s="8">
        <f t="shared" si="2"/>
        <v>10.650887573964498</v>
      </c>
    </row>
    <row r="54" spans="1:13" x14ac:dyDescent="0.25">
      <c r="A54" s="16" t="s">
        <v>40</v>
      </c>
      <c r="B54" s="16" t="s">
        <v>156</v>
      </c>
      <c r="C54" s="2">
        <v>41</v>
      </c>
      <c r="D54" s="2">
        <v>21</v>
      </c>
      <c r="E54" s="7" t="s">
        <v>157</v>
      </c>
      <c r="F54" s="2" t="s">
        <v>158</v>
      </c>
      <c r="G54" s="2">
        <v>2</v>
      </c>
      <c r="H54" s="2">
        <v>22</v>
      </c>
      <c r="I54" s="2">
        <v>4</v>
      </c>
      <c r="J54" s="2">
        <f t="shared" si="0"/>
        <v>6</v>
      </c>
      <c r="K54" s="2">
        <v>191</v>
      </c>
      <c r="L54" s="2">
        <f t="shared" si="3"/>
        <v>219</v>
      </c>
      <c r="M54" s="8">
        <f t="shared" si="2"/>
        <v>2.7397260273972601</v>
      </c>
    </row>
    <row r="55" spans="1:13" x14ac:dyDescent="0.25">
      <c r="A55" s="10" t="s">
        <v>15</v>
      </c>
      <c r="B55" s="10" t="s">
        <v>159</v>
      </c>
      <c r="C55" s="2">
        <v>41</v>
      </c>
      <c r="D55" s="2">
        <v>22</v>
      </c>
      <c r="E55" s="7" t="s">
        <v>160</v>
      </c>
      <c r="F55" s="2" t="s">
        <v>147</v>
      </c>
      <c r="G55" s="2">
        <v>5</v>
      </c>
      <c r="H55" s="2">
        <v>9</v>
      </c>
      <c r="I55" s="2">
        <v>6</v>
      </c>
      <c r="J55" s="2">
        <f t="shared" si="0"/>
        <v>11</v>
      </c>
      <c r="K55" s="2">
        <v>177</v>
      </c>
      <c r="L55" s="2">
        <f t="shared" si="3"/>
        <v>197</v>
      </c>
      <c r="M55" s="8">
        <f t="shared" si="2"/>
        <v>5.5837563451776653</v>
      </c>
    </row>
    <row r="56" spans="1:13" x14ac:dyDescent="0.25">
      <c r="A56" s="16" t="s">
        <v>40</v>
      </c>
      <c r="B56" s="16" t="s">
        <v>161</v>
      </c>
      <c r="C56" s="2">
        <v>41</v>
      </c>
      <c r="D56" s="2">
        <v>23</v>
      </c>
      <c r="E56" s="7" t="s">
        <v>162</v>
      </c>
      <c r="F56" s="2" t="s">
        <v>163</v>
      </c>
      <c r="G56" s="2">
        <v>11</v>
      </c>
      <c r="H56" s="2">
        <v>38</v>
      </c>
      <c r="I56" s="2">
        <v>11</v>
      </c>
      <c r="J56" s="2">
        <f t="shared" si="0"/>
        <v>22</v>
      </c>
      <c r="K56" s="2">
        <v>252</v>
      </c>
      <c r="L56" s="2">
        <f t="shared" si="3"/>
        <v>312</v>
      </c>
      <c r="M56" s="8">
        <f t="shared" si="2"/>
        <v>7.0512820512820511</v>
      </c>
    </row>
    <row r="57" spans="1:13" x14ac:dyDescent="0.25">
      <c r="A57" s="11" t="s">
        <v>19</v>
      </c>
      <c r="B57" s="12" t="s">
        <v>164</v>
      </c>
      <c r="C57" s="2">
        <v>41</v>
      </c>
      <c r="D57" s="2">
        <v>24</v>
      </c>
      <c r="E57" s="7" t="s">
        <v>165</v>
      </c>
      <c r="F57" s="2" t="s">
        <v>166</v>
      </c>
      <c r="G57" s="2">
        <v>0</v>
      </c>
      <c r="H57" s="2">
        <v>2</v>
      </c>
      <c r="I57" s="2">
        <v>0</v>
      </c>
      <c r="J57" s="2">
        <f t="shared" si="0"/>
        <v>0</v>
      </c>
      <c r="K57" s="2">
        <v>4</v>
      </c>
      <c r="L57" s="2">
        <f t="shared" si="3"/>
        <v>6</v>
      </c>
      <c r="M57" s="8">
        <f t="shared" si="2"/>
        <v>0</v>
      </c>
    </row>
    <row r="58" spans="1:13" x14ac:dyDescent="0.25">
      <c r="A58" s="16" t="s">
        <v>40</v>
      </c>
      <c r="B58" s="16" t="s">
        <v>167</v>
      </c>
      <c r="C58" s="2">
        <v>41</v>
      </c>
      <c r="D58" s="2">
        <v>25</v>
      </c>
      <c r="E58" s="7" t="s">
        <v>168</v>
      </c>
      <c r="F58" s="2" t="s">
        <v>169</v>
      </c>
      <c r="G58" s="2">
        <v>13</v>
      </c>
      <c r="H58" s="2">
        <v>29</v>
      </c>
      <c r="I58" s="2">
        <v>7</v>
      </c>
      <c r="J58" s="2">
        <f t="shared" si="0"/>
        <v>20</v>
      </c>
      <c r="K58" s="2">
        <v>224</v>
      </c>
      <c r="L58" s="2">
        <f t="shared" si="3"/>
        <v>273</v>
      </c>
      <c r="M58" s="8">
        <f t="shared" si="2"/>
        <v>7.3260073260073266</v>
      </c>
    </row>
    <row r="59" spans="1:13" x14ac:dyDescent="0.25">
      <c r="A59" s="16" t="s">
        <v>40</v>
      </c>
      <c r="B59" s="16" t="s">
        <v>170</v>
      </c>
      <c r="C59" s="2">
        <v>41</v>
      </c>
      <c r="D59" s="2">
        <v>26</v>
      </c>
      <c r="E59" s="7" t="s">
        <v>171</v>
      </c>
      <c r="F59" s="2" t="s">
        <v>172</v>
      </c>
      <c r="G59" s="2">
        <v>6</v>
      </c>
      <c r="H59" s="2">
        <v>20</v>
      </c>
      <c r="I59" s="2">
        <v>5</v>
      </c>
      <c r="J59" s="2">
        <f t="shared" si="0"/>
        <v>11</v>
      </c>
      <c r="K59" s="2">
        <v>233</v>
      </c>
      <c r="L59" s="2">
        <f t="shared" si="3"/>
        <v>264</v>
      </c>
      <c r="M59" s="8">
        <f t="shared" si="2"/>
        <v>4.1666666666666661</v>
      </c>
    </row>
    <row r="60" spans="1:13" x14ac:dyDescent="0.25">
      <c r="A60" s="10" t="s">
        <v>15</v>
      </c>
      <c r="B60" s="10" t="s">
        <v>173</v>
      </c>
      <c r="C60" s="2">
        <v>41</v>
      </c>
      <c r="D60" s="2">
        <v>27</v>
      </c>
      <c r="E60" s="7" t="s">
        <v>174</v>
      </c>
      <c r="F60" s="2" t="s">
        <v>104</v>
      </c>
      <c r="G60" s="2">
        <v>3</v>
      </c>
      <c r="H60" s="2">
        <v>18</v>
      </c>
      <c r="I60" s="2">
        <v>6</v>
      </c>
      <c r="J60" s="2">
        <f t="shared" si="0"/>
        <v>9</v>
      </c>
      <c r="K60" s="2">
        <v>185</v>
      </c>
      <c r="L60" s="2">
        <f t="shared" si="3"/>
        <v>212</v>
      </c>
      <c r="M60" s="8">
        <f t="shared" si="2"/>
        <v>4.2452830188679247</v>
      </c>
    </row>
    <row r="61" spans="1:13" x14ac:dyDescent="0.25">
      <c r="A61" s="6" t="s">
        <v>3</v>
      </c>
      <c r="B61" s="6" t="s">
        <v>175</v>
      </c>
      <c r="C61" s="2">
        <v>41</v>
      </c>
      <c r="D61" s="2">
        <v>28</v>
      </c>
      <c r="E61" s="7" t="str">
        <f>C61&amp;D61</f>
        <v>4128</v>
      </c>
      <c r="F61" s="2" t="s">
        <v>176</v>
      </c>
      <c r="G61" s="2">
        <v>5</v>
      </c>
      <c r="H61" s="2">
        <v>18</v>
      </c>
      <c r="I61" s="2">
        <v>5</v>
      </c>
      <c r="J61" s="2">
        <f t="shared" si="0"/>
        <v>10</v>
      </c>
      <c r="K61" s="2">
        <v>186</v>
      </c>
      <c r="L61" s="2">
        <f t="shared" si="3"/>
        <v>214</v>
      </c>
      <c r="M61" s="8">
        <f t="shared" si="2"/>
        <v>4.6728971962616823</v>
      </c>
    </row>
    <row r="62" spans="1:13" x14ac:dyDescent="0.25">
      <c r="A62" s="16" t="s">
        <v>40</v>
      </c>
      <c r="B62" s="16" t="s">
        <v>177</v>
      </c>
      <c r="C62" s="2">
        <v>41</v>
      </c>
      <c r="D62" s="2">
        <v>29</v>
      </c>
      <c r="E62" s="7" t="s">
        <v>178</v>
      </c>
      <c r="F62" s="2" t="s">
        <v>118</v>
      </c>
      <c r="G62" s="2">
        <v>8</v>
      </c>
      <c r="H62" s="2">
        <v>16</v>
      </c>
      <c r="I62" s="2">
        <v>16</v>
      </c>
      <c r="J62" s="2">
        <f t="shared" si="0"/>
        <v>24</v>
      </c>
      <c r="K62" s="2">
        <v>214</v>
      </c>
      <c r="L62" s="2">
        <f t="shared" si="3"/>
        <v>254</v>
      </c>
      <c r="M62" s="8">
        <f t="shared" si="2"/>
        <v>9.4488188976377945</v>
      </c>
    </row>
    <row r="63" spans="1:13" x14ac:dyDescent="0.25">
      <c r="A63" s="6" t="s">
        <v>3</v>
      </c>
      <c r="B63" s="6" t="s">
        <v>179</v>
      </c>
      <c r="C63" s="2">
        <v>41</v>
      </c>
      <c r="D63" s="2">
        <v>30</v>
      </c>
      <c r="E63" s="7" t="str">
        <f>C63&amp;D63</f>
        <v>4130</v>
      </c>
      <c r="F63" s="2" t="s">
        <v>14</v>
      </c>
      <c r="G63" s="2">
        <v>2</v>
      </c>
      <c r="H63" s="2">
        <v>3</v>
      </c>
      <c r="I63" s="2">
        <v>5</v>
      </c>
      <c r="J63" s="2">
        <f t="shared" si="0"/>
        <v>7</v>
      </c>
      <c r="K63" s="2">
        <v>125</v>
      </c>
      <c r="L63" s="2">
        <f t="shared" si="3"/>
        <v>135</v>
      </c>
      <c r="M63" s="8">
        <f t="shared" si="2"/>
        <v>5.1851851851851851</v>
      </c>
    </row>
    <row r="64" spans="1:13" x14ac:dyDescent="0.25">
      <c r="A64" s="21" t="s">
        <v>180</v>
      </c>
      <c r="B64" s="21" t="s">
        <v>181</v>
      </c>
      <c r="C64" s="2">
        <v>41</v>
      </c>
      <c r="D64" s="2">
        <v>31</v>
      </c>
      <c r="E64" s="7" t="s">
        <v>182</v>
      </c>
      <c r="F64" s="2" t="s">
        <v>183</v>
      </c>
      <c r="G64" s="2">
        <v>3</v>
      </c>
      <c r="H64" s="2">
        <v>10</v>
      </c>
      <c r="I64" s="2">
        <v>2</v>
      </c>
      <c r="J64" s="2">
        <f t="shared" si="0"/>
        <v>5</v>
      </c>
      <c r="K64" s="2">
        <v>137</v>
      </c>
      <c r="L64" s="2">
        <f t="shared" si="3"/>
        <v>152</v>
      </c>
      <c r="M64" s="8">
        <f t="shared" si="2"/>
        <v>3.2894736842105261</v>
      </c>
    </row>
    <row r="65" spans="1:13" x14ac:dyDescent="0.25">
      <c r="A65" s="16" t="s">
        <v>40</v>
      </c>
      <c r="B65" s="16" t="s">
        <v>184</v>
      </c>
      <c r="C65" s="2">
        <v>41</v>
      </c>
      <c r="D65" s="2">
        <v>32</v>
      </c>
      <c r="E65" s="7" t="s">
        <v>185</v>
      </c>
      <c r="F65" s="2" t="s">
        <v>158</v>
      </c>
      <c r="G65" s="2">
        <v>6</v>
      </c>
      <c r="H65" s="2">
        <v>12</v>
      </c>
      <c r="I65" s="2">
        <v>8</v>
      </c>
      <c r="J65" s="2">
        <f t="shared" si="0"/>
        <v>14</v>
      </c>
      <c r="K65" s="2">
        <v>153</v>
      </c>
      <c r="L65" s="2">
        <f t="shared" si="3"/>
        <v>179</v>
      </c>
      <c r="M65" s="8">
        <f t="shared" si="2"/>
        <v>7.8212290502793298</v>
      </c>
    </row>
    <row r="66" spans="1:13" x14ac:dyDescent="0.25">
      <c r="A66" s="21" t="s">
        <v>180</v>
      </c>
      <c r="B66" s="21" t="s">
        <v>186</v>
      </c>
      <c r="C66" s="2">
        <v>41</v>
      </c>
      <c r="D66" s="2">
        <v>33</v>
      </c>
      <c r="E66" s="7" t="s">
        <v>187</v>
      </c>
      <c r="F66" s="2" t="s">
        <v>188</v>
      </c>
      <c r="G66" s="2">
        <v>3</v>
      </c>
      <c r="H66" s="2">
        <v>11</v>
      </c>
      <c r="I66" s="2">
        <v>11</v>
      </c>
      <c r="J66" s="2">
        <f t="shared" ref="J66:J129" si="4">G66+I66</f>
        <v>14</v>
      </c>
      <c r="K66" s="2">
        <v>193</v>
      </c>
      <c r="L66" s="2">
        <f t="shared" ref="L66:L97" si="5">H66+J66+K66</f>
        <v>218</v>
      </c>
      <c r="M66" s="8">
        <f t="shared" ref="M66:M123" si="6">J66/L66*100</f>
        <v>6.4220183486238538</v>
      </c>
    </row>
    <row r="67" spans="1:13" x14ac:dyDescent="0.25">
      <c r="A67" s="21" t="s">
        <v>180</v>
      </c>
      <c r="B67" s="21" t="s">
        <v>189</v>
      </c>
      <c r="C67" s="2">
        <v>41</v>
      </c>
      <c r="D67" s="2">
        <v>34</v>
      </c>
      <c r="E67" s="7" t="s">
        <v>190</v>
      </c>
      <c r="F67" s="2" t="s">
        <v>191</v>
      </c>
      <c r="G67" s="2">
        <v>11</v>
      </c>
      <c r="H67" s="2">
        <v>12</v>
      </c>
      <c r="I67" s="2">
        <v>7</v>
      </c>
      <c r="J67" s="2">
        <f t="shared" si="4"/>
        <v>18</v>
      </c>
      <c r="K67" s="2">
        <v>150</v>
      </c>
      <c r="L67" s="2">
        <f t="shared" si="5"/>
        <v>180</v>
      </c>
      <c r="M67" s="8">
        <f t="shared" si="6"/>
        <v>10</v>
      </c>
    </row>
    <row r="68" spans="1:13" x14ac:dyDescent="0.25">
      <c r="A68" s="6" t="s">
        <v>3</v>
      </c>
      <c r="B68" s="6" t="s">
        <v>192</v>
      </c>
      <c r="C68" s="2">
        <v>41</v>
      </c>
      <c r="D68" s="2">
        <v>35</v>
      </c>
      <c r="E68" s="7" t="str">
        <f>C68&amp;D68</f>
        <v>4135</v>
      </c>
      <c r="F68" s="2" t="s">
        <v>193</v>
      </c>
      <c r="G68" s="2">
        <v>5</v>
      </c>
      <c r="H68" s="2">
        <v>10</v>
      </c>
      <c r="I68" s="2">
        <v>4</v>
      </c>
      <c r="J68" s="2">
        <f t="shared" si="4"/>
        <v>9</v>
      </c>
      <c r="K68" s="2">
        <v>118</v>
      </c>
      <c r="L68" s="2">
        <f t="shared" si="5"/>
        <v>137</v>
      </c>
      <c r="M68" s="8">
        <f t="shared" si="6"/>
        <v>6.5693430656934311</v>
      </c>
    </row>
    <row r="69" spans="1:13" x14ac:dyDescent="0.25">
      <c r="A69" s="21" t="s">
        <v>180</v>
      </c>
      <c r="B69" s="21" t="s">
        <v>194</v>
      </c>
      <c r="C69" s="2">
        <v>41</v>
      </c>
      <c r="D69" s="2">
        <v>36</v>
      </c>
      <c r="E69" s="7" t="s">
        <v>195</v>
      </c>
      <c r="F69" s="2" t="s">
        <v>196</v>
      </c>
      <c r="G69" s="2">
        <v>8</v>
      </c>
      <c r="H69" s="2">
        <v>9</v>
      </c>
      <c r="I69" s="2">
        <v>2</v>
      </c>
      <c r="J69" s="2">
        <f t="shared" si="4"/>
        <v>10</v>
      </c>
      <c r="K69" s="2">
        <v>114</v>
      </c>
      <c r="L69" s="2">
        <f t="shared" si="5"/>
        <v>133</v>
      </c>
      <c r="M69" s="8">
        <f t="shared" si="6"/>
        <v>7.518796992481203</v>
      </c>
    </row>
    <row r="70" spans="1:13" x14ac:dyDescent="0.25">
      <c r="A70" s="9" t="s">
        <v>6</v>
      </c>
      <c r="B70" s="9" t="s">
        <v>197</v>
      </c>
      <c r="C70" s="2">
        <v>41</v>
      </c>
      <c r="D70" s="2">
        <v>37</v>
      </c>
      <c r="E70" s="7" t="s">
        <v>198</v>
      </c>
      <c r="F70" s="2" t="s">
        <v>199</v>
      </c>
      <c r="G70" s="2">
        <v>9</v>
      </c>
      <c r="H70" s="2">
        <v>24</v>
      </c>
      <c r="I70" s="2">
        <v>5</v>
      </c>
      <c r="J70" s="2">
        <f t="shared" si="4"/>
        <v>14</v>
      </c>
      <c r="K70" s="2">
        <v>88</v>
      </c>
      <c r="L70" s="2">
        <f t="shared" si="5"/>
        <v>126</v>
      </c>
      <c r="M70" s="8">
        <f t="shared" si="6"/>
        <v>11.111111111111111</v>
      </c>
    </row>
    <row r="71" spans="1:13" x14ac:dyDescent="0.25">
      <c r="A71" s="21" t="s">
        <v>180</v>
      </c>
      <c r="B71" s="21" t="s">
        <v>200</v>
      </c>
      <c r="C71" s="2">
        <v>41</v>
      </c>
      <c r="D71" s="2">
        <v>38</v>
      </c>
      <c r="E71" s="7" t="s">
        <v>201</v>
      </c>
      <c r="F71" s="2" t="s">
        <v>202</v>
      </c>
      <c r="G71" s="2">
        <v>15</v>
      </c>
      <c r="H71" s="2">
        <v>5</v>
      </c>
      <c r="I71" s="2">
        <v>9</v>
      </c>
      <c r="J71" s="2">
        <f t="shared" si="4"/>
        <v>24</v>
      </c>
      <c r="K71" s="2">
        <v>142</v>
      </c>
      <c r="L71" s="2">
        <f t="shared" si="5"/>
        <v>171</v>
      </c>
      <c r="M71" s="8">
        <f t="shared" si="6"/>
        <v>14.035087719298245</v>
      </c>
    </row>
    <row r="72" spans="1:13" x14ac:dyDescent="0.25">
      <c r="A72" s="9" t="s">
        <v>6</v>
      </c>
      <c r="B72" s="9" t="s">
        <v>203</v>
      </c>
      <c r="C72" s="2">
        <v>41</v>
      </c>
      <c r="D72" s="2">
        <v>40</v>
      </c>
      <c r="E72" s="7" t="s">
        <v>204</v>
      </c>
      <c r="F72" s="2" t="s">
        <v>205</v>
      </c>
      <c r="G72" s="2">
        <v>5</v>
      </c>
      <c r="H72" s="2">
        <v>14</v>
      </c>
      <c r="I72" s="2">
        <v>14</v>
      </c>
      <c r="J72" s="2">
        <f t="shared" si="4"/>
        <v>19</v>
      </c>
      <c r="K72" s="2">
        <v>220</v>
      </c>
      <c r="L72" s="2">
        <f t="shared" si="5"/>
        <v>253</v>
      </c>
      <c r="M72" s="8">
        <f t="shared" si="6"/>
        <v>7.5098814229249005</v>
      </c>
    </row>
    <row r="73" spans="1:13" x14ac:dyDescent="0.25">
      <c r="A73" s="11" t="s">
        <v>19</v>
      </c>
      <c r="B73" s="12" t="s">
        <v>206</v>
      </c>
      <c r="C73" s="2">
        <v>41</v>
      </c>
      <c r="D73" s="2">
        <v>41</v>
      </c>
      <c r="E73" s="7" t="s">
        <v>207</v>
      </c>
      <c r="F73" s="2" t="s">
        <v>208</v>
      </c>
      <c r="G73" s="2">
        <v>6</v>
      </c>
      <c r="H73" s="2">
        <v>5</v>
      </c>
      <c r="I73" s="2">
        <v>12</v>
      </c>
      <c r="J73" s="2">
        <f t="shared" si="4"/>
        <v>18</v>
      </c>
      <c r="K73" s="2">
        <v>192</v>
      </c>
      <c r="L73" s="2">
        <f t="shared" si="5"/>
        <v>215</v>
      </c>
      <c r="M73" s="8">
        <f t="shared" si="6"/>
        <v>8.3720930232558146</v>
      </c>
    </row>
    <row r="74" spans="1:13" x14ac:dyDescent="0.25">
      <c r="A74" s="13" t="s">
        <v>26</v>
      </c>
      <c r="B74" s="13" t="s">
        <v>209</v>
      </c>
      <c r="C74" s="2">
        <v>41</v>
      </c>
      <c r="D74" s="2">
        <v>43</v>
      </c>
      <c r="E74" s="7" t="s">
        <v>210</v>
      </c>
      <c r="F74" s="2" t="s">
        <v>211</v>
      </c>
      <c r="G74" s="2">
        <v>3</v>
      </c>
      <c r="H74" s="2">
        <v>4</v>
      </c>
      <c r="I74" s="2">
        <v>2</v>
      </c>
      <c r="J74" s="2">
        <f t="shared" si="4"/>
        <v>5</v>
      </c>
      <c r="K74" s="2">
        <v>127</v>
      </c>
      <c r="L74" s="2">
        <f t="shared" si="5"/>
        <v>136</v>
      </c>
      <c r="M74" s="8">
        <f t="shared" si="6"/>
        <v>3.6764705882352944</v>
      </c>
    </row>
    <row r="75" spans="1:13" x14ac:dyDescent="0.25">
      <c r="A75" s="13" t="s">
        <v>26</v>
      </c>
      <c r="B75" s="13" t="s">
        <v>212</v>
      </c>
      <c r="C75" s="2">
        <v>41</v>
      </c>
      <c r="D75" s="2">
        <v>44</v>
      </c>
      <c r="E75" s="7" t="s">
        <v>213</v>
      </c>
      <c r="F75" s="2" t="s">
        <v>214</v>
      </c>
      <c r="G75" s="2">
        <v>8</v>
      </c>
      <c r="H75" s="2">
        <v>10</v>
      </c>
      <c r="I75" s="2">
        <v>8</v>
      </c>
      <c r="J75" s="2">
        <f t="shared" si="4"/>
        <v>16</v>
      </c>
      <c r="K75" s="2">
        <v>150</v>
      </c>
      <c r="L75" s="2">
        <f t="shared" si="5"/>
        <v>176</v>
      </c>
      <c r="M75" s="8">
        <f t="shared" si="6"/>
        <v>9.0909090909090917</v>
      </c>
    </row>
    <row r="76" spans="1:13" x14ac:dyDescent="0.25">
      <c r="A76" s="21" t="s">
        <v>180</v>
      </c>
      <c r="B76" s="21" t="s">
        <v>215</v>
      </c>
      <c r="C76" s="2">
        <v>42</v>
      </c>
      <c r="D76" s="2">
        <v>1</v>
      </c>
      <c r="E76" s="7" t="s">
        <v>216</v>
      </c>
      <c r="F76" s="2" t="s">
        <v>217</v>
      </c>
      <c r="G76" s="2">
        <v>3</v>
      </c>
      <c r="H76" s="2">
        <v>12</v>
      </c>
      <c r="I76" s="2">
        <v>7</v>
      </c>
      <c r="J76" s="2">
        <f t="shared" si="4"/>
        <v>10</v>
      </c>
      <c r="K76" s="2">
        <v>121</v>
      </c>
      <c r="L76" s="2">
        <f t="shared" si="5"/>
        <v>143</v>
      </c>
      <c r="M76" s="8">
        <f t="shared" si="6"/>
        <v>6.9930069930069934</v>
      </c>
    </row>
    <row r="77" spans="1:13" x14ac:dyDescent="0.25">
      <c r="A77" s="14" t="s">
        <v>33</v>
      </c>
      <c r="B77" s="15" t="s">
        <v>218</v>
      </c>
      <c r="C77" s="2">
        <v>42</v>
      </c>
      <c r="D77" s="2">
        <v>2</v>
      </c>
      <c r="E77" s="7" t="s">
        <v>219</v>
      </c>
      <c r="F77" s="2" t="s">
        <v>126</v>
      </c>
      <c r="G77" s="2">
        <v>7</v>
      </c>
      <c r="H77" s="2">
        <v>41</v>
      </c>
      <c r="I77" s="2">
        <v>10</v>
      </c>
      <c r="J77" s="2">
        <f t="shared" si="4"/>
        <v>17</v>
      </c>
      <c r="K77" s="2">
        <v>105</v>
      </c>
      <c r="L77" s="2">
        <f t="shared" si="5"/>
        <v>163</v>
      </c>
      <c r="M77" s="8">
        <f t="shared" si="6"/>
        <v>10.429447852760736</v>
      </c>
    </row>
    <row r="78" spans="1:13" x14ac:dyDescent="0.25">
      <c r="A78" s="14" t="s">
        <v>33</v>
      </c>
      <c r="B78" s="15" t="s">
        <v>220</v>
      </c>
      <c r="C78" s="2">
        <v>42</v>
      </c>
      <c r="D78" s="2">
        <v>7</v>
      </c>
      <c r="E78" s="7" t="s">
        <v>221</v>
      </c>
      <c r="F78" s="2" t="s">
        <v>101</v>
      </c>
      <c r="G78" s="2">
        <v>3</v>
      </c>
      <c r="H78" s="2">
        <v>11</v>
      </c>
      <c r="I78" s="2">
        <v>2</v>
      </c>
      <c r="J78" s="2">
        <f t="shared" si="4"/>
        <v>5</v>
      </c>
      <c r="K78" s="2">
        <v>183</v>
      </c>
      <c r="L78" s="2">
        <f t="shared" si="5"/>
        <v>199</v>
      </c>
      <c r="M78" s="8">
        <f t="shared" si="6"/>
        <v>2.512562814070352</v>
      </c>
    </row>
    <row r="79" spans="1:13" x14ac:dyDescent="0.25">
      <c r="A79" s="6" t="s">
        <v>3</v>
      </c>
      <c r="B79" s="6" t="s">
        <v>222</v>
      </c>
      <c r="C79" s="2">
        <v>42</v>
      </c>
      <c r="D79" s="2">
        <v>8</v>
      </c>
      <c r="E79" s="7" t="str">
        <f>C79&amp;"0"&amp;D79</f>
        <v>4208</v>
      </c>
      <c r="F79" s="2" t="s">
        <v>68</v>
      </c>
      <c r="G79" s="2">
        <v>4</v>
      </c>
      <c r="H79" s="2">
        <v>14</v>
      </c>
      <c r="I79" s="2">
        <v>5</v>
      </c>
      <c r="J79" s="2">
        <f t="shared" si="4"/>
        <v>9</v>
      </c>
      <c r="K79" s="2">
        <v>175</v>
      </c>
      <c r="L79" s="2">
        <f t="shared" si="5"/>
        <v>198</v>
      </c>
      <c r="M79" s="8">
        <f t="shared" si="6"/>
        <v>4.5454545454545459</v>
      </c>
    </row>
    <row r="80" spans="1:13" x14ac:dyDescent="0.25">
      <c r="A80" s="16" t="s">
        <v>40</v>
      </c>
      <c r="B80" s="16" t="s">
        <v>223</v>
      </c>
      <c r="C80" s="2">
        <v>42</v>
      </c>
      <c r="D80" s="2">
        <v>9</v>
      </c>
      <c r="E80" s="7" t="s">
        <v>224</v>
      </c>
      <c r="F80" s="2" t="s">
        <v>83</v>
      </c>
      <c r="G80" s="2">
        <v>8</v>
      </c>
      <c r="H80" s="2">
        <v>14</v>
      </c>
      <c r="I80" s="2">
        <v>6</v>
      </c>
      <c r="J80" s="2">
        <f t="shared" si="4"/>
        <v>14</v>
      </c>
      <c r="K80" s="2">
        <v>209</v>
      </c>
      <c r="L80" s="2">
        <f t="shared" si="5"/>
        <v>237</v>
      </c>
      <c r="M80" s="8">
        <f t="shared" si="6"/>
        <v>5.9071729957805905</v>
      </c>
    </row>
    <row r="81" spans="1:13" x14ac:dyDescent="0.25">
      <c r="A81" s="14" t="s">
        <v>33</v>
      </c>
      <c r="B81" s="15" t="s">
        <v>225</v>
      </c>
      <c r="C81" s="2">
        <v>42</v>
      </c>
      <c r="D81" s="2">
        <v>10</v>
      </c>
      <c r="E81" s="7" t="s">
        <v>226</v>
      </c>
      <c r="F81" s="2" t="s">
        <v>39</v>
      </c>
      <c r="G81" s="2">
        <v>4</v>
      </c>
      <c r="H81" s="2">
        <v>39</v>
      </c>
      <c r="I81" s="2">
        <v>5</v>
      </c>
      <c r="J81" s="2">
        <f t="shared" si="4"/>
        <v>9</v>
      </c>
      <c r="K81" s="2">
        <v>106</v>
      </c>
      <c r="L81" s="2">
        <f t="shared" si="5"/>
        <v>154</v>
      </c>
      <c r="M81" s="8">
        <f t="shared" si="6"/>
        <v>5.8441558441558437</v>
      </c>
    </row>
    <row r="82" spans="1:13" x14ac:dyDescent="0.25">
      <c r="A82" s="16" t="s">
        <v>40</v>
      </c>
      <c r="B82" s="16" t="s">
        <v>227</v>
      </c>
      <c r="C82" s="2">
        <v>42</v>
      </c>
      <c r="D82" s="2">
        <v>11</v>
      </c>
      <c r="E82" s="7" t="s">
        <v>228</v>
      </c>
      <c r="F82" s="2" t="s">
        <v>43</v>
      </c>
      <c r="G82" s="2">
        <v>3</v>
      </c>
      <c r="H82" s="2">
        <v>9</v>
      </c>
      <c r="I82" s="2">
        <v>4</v>
      </c>
      <c r="J82" s="2">
        <f t="shared" si="4"/>
        <v>7</v>
      </c>
      <c r="K82" s="2">
        <v>142</v>
      </c>
      <c r="L82" s="2">
        <f t="shared" si="5"/>
        <v>158</v>
      </c>
      <c r="M82" s="8">
        <f t="shared" si="6"/>
        <v>4.4303797468354427</v>
      </c>
    </row>
    <row r="83" spans="1:13" x14ac:dyDescent="0.25">
      <c r="A83" s="9" t="s">
        <v>6</v>
      </c>
      <c r="B83" s="9" t="s">
        <v>229</v>
      </c>
      <c r="C83" s="2">
        <v>42</v>
      </c>
      <c r="D83" s="2">
        <v>12</v>
      </c>
      <c r="E83" s="7" t="s">
        <v>230</v>
      </c>
      <c r="F83" s="2" t="s">
        <v>199</v>
      </c>
      <c r="G83" s="2">
        <v>5</v>
      </c>
      <c r="H83" s="2">
        <v>11</v>
      </c>
      <c r="I83" s="2">
        <v>49</v>
      </c>
      <c r="J83" s="2">
        <f t="shared" si="4"/>
        <v>54</v>
      </c>
      <c r="K83" s="2">
        <v>50</v>
      </c>
      <c r="L83" s="2">
        <f t="shared" si="5"/>
        <v>115</v>
      </c>
      <c r="M83" s="8">
        <f t="shared" si="6"/>
        <v>46.956521739130437</v>
      </c>
    </row>
    <row r="84" spans="1:13" x14ac:dyDescent="0.25">
      <c r="A84" s="16" t="s">
        <v>40</v>
      </c>
      <c r="B84" s="16" t="s">
        <v>231</v>
      </c>
      <c r="C84" s="2">
        <v>42</v>
      </c>
      <c r="D84" s="2">
        <v>13</v>
      </c>
      <c r="E84" s="7" t="s">
        <v>232</v>
      </c>
      <c r="F84" s="2" t="s">
        <v>169</v>
      </c>
      <c r="G84" s="2">
        <v>8</v>
      </c>
      <c r="H84" s="2">
        <v>21</v>
      </c>
      <c r="I84" s="2">
        <v>4</v>
      </c>
      <c r="J84" s="2">
        <f t="shared" si="4"/>
        <v>12</v>
      </c>
      <c r="K84" s="2">
        <v>168</v>
      </c>
      <c r="L84" s="2">
        <f t="shared" si="5"/>
        <v>201</v>
      </c>
      <c r="M84" s="8">
        <f t="shared" si="6"/>
        <v>5.9701492537313428</v>
      </c>
    </row>
    <row r="85" spans="1:13" x14ac:dyDescent="0.25">
      <c r="A85" s="16" t="s">
        <v>40</v>
      </c>
      <c r="B85" s="16" t="s">
        <v>233</v>
      </c>
      <c r="C85" s="2">
        <v>42</v>
      </c>
      <c r="D85" s="2">
        <v>15</v>
      </c>
      <c r="E85" s="7" t="s">
        <v>234</v>
      </c>
      <c r="F85" s="2" t="s">
        <v>80</v>
      </c>
      <c r="G85" s="2">
        <v>13</v>
      </c>
      <c r="H85" s="2">
        <v>12</v>
      </c>
      <c r="I85" s="2">
        <v>11</v>
      </c>
      <c r="J85" s="2">
        <f t="shared" si="4"/>
        <v>24</v>
      </c>
      <c r="K85" s="2">
        <v>203</v>
      </c>
      <c r="L85" s="2">
        <f t="shared" si="5"/>
        <v>239</v>
      </c>
      <c r="M85" s="8">
        <f t="shared" si="6"/>
        <v>10.0418410041841</v>
      </c>
    </row>
    <row r="86" spans="1:13" x14ac:dyDescent="0.25">
      <c r="A86" s="16" t="s">
        <v>40</v>
      </c>
      <c r="B86" s="16" t="s">
        <v>235</v>
      </c>
      <c r="C86" s="2">
        <v>42</v>
      </c>
      <c r="D86" s="2">
        <v>20</v>
      </c>
      <c r="E86" s="7" t="s">
        <v>236</v>
      </c>
      <c r="F86" s="2" t="s">
        <v>139</v>
      </c>
      <c r="G86" s="2">
        <v>4</v>
      </c>
      <c r="H86" s="2">
        <v>12</v>
      </c>
      <c r="I86" s="2">
        <v>9</v>
      </c>
      <c r="J86" s="2">
        <f t="shared" si="4"/>
        <v>13</v>
      </c>
      <c r="K86" s="2">
        <v>253</v>
      </c>
      <c r="L86" s="2">
        <f t="shared" si="5"/>
        <v>278</v>
      </c>
      <c r="M86" s="8">
        <f t="shared" si="6"/>
        <v>4.6762589928057556</v>
      </c>
    </row>
    <row r="87" spans="1:13" x14ac:dyDescent="0.25">
      <c r="A87" s="6" t="s">
        <v>3</v>
      </c>
      <c r="B87" s="6" t="s">
        <v>237</v>
      </c>
      <c r="C87" s="2">
        <v>42</v>
      </c>
      <c r="D87" s="2">
        <v>21</v>
      </c>
      <c r="E87" s="7" t="str">
        <f>C87&amp;D87</f>
        <v>4221</v>
      </c>
      <c r="F87" s="2" t="s">
        <v>176</v>
      </c>
      <c r="G87" s="2">
        <v>6</v>
      </c>
      <c r="H87" s="2">
        <v>18</v>
      </c>
      <c r="I87" s="2">
        <v>4</v>
      </c>
      <c r="J87" s="2">
        <f t="shared" si="4"/>
        <v>10</v>
      </c>
      <c r="K87" s="2">
        <v>156</v>
      </c>
      <c r="L87" s="2">
        <f t="shared" si="5"/>
        <v>184</v>
      </c>
      <c r="M87" s="8">
        <f t="shared" si="6"/>
        <v>5.4347826086956523</v>
      </c>
    </row>
    <row r="88" spans="1:13" x14ac:dyDescent="0.25">
      <c r="A88" s="16" t="s">
        <v>40</v>
      </c>
      <c r="B88" s="16" t="s">
        <v>238</v>
      </c>
      <c r="C88" s="2">
        <v>42</v>
      </c>
      <c r="D88" s="2">
        <v>22</v>
      </c>
      <c r="E88" s="7" t="s">
        <v>239</v>
      </c>
      <c r="F88" s="2" t="s">
        <v>172</v>
      </c>
      <c r="G88" s="2">
        <v>5</v>
      </c>
      <c r="H88" s="2">
        <v>14</v>
      </c>
      <c r="I88" s="2">
        <v>6</v>
      </c>
      <c r="J88" s="2">
        <f t="shared" si="4"/>
        <v>11</v>
      </c>
      <c r="K88" s="2">
        <v>193</v>
      </c>
      <c r="L88" s="2">
        <f t="shared" si="5"/>
        <v>218</v>
      </c>
      <c r="M88" s="8">
        <f t="shared" si="6"/>
        <v>5.0458715596330279</v>
      </c>
    </row>
    <row r="89" spans="1:13" x14ac:dyDescent="0.25">
      <c r="A89" s="14" t="s">
        <v>33</v>
      </c>
      <c r="B89" s="15" t="s">
        <v>240</v>
      </c>
      <c r="C89" s="2">
        <v>42</v>
      </c>
      <c r="D89" s="2">
        <v>23</v>
      </c>
      <c r="E89" s="7" t="s">
        <v>241</v>
      </c>
      <c r="F89" s="2" t="s">
        <v>134</v>
      </c>
      <c r="G89" s="2">
        <v>6</v>
      </c>
      <c r="H89" s="2">
        <v>23</v>
      </c>
      <c r="I89" s="2">
        <v>12</v>
      </c>
      <c r="J89" s="2">
        <f t="shared" si="4"/>
        <v>18</v>
      </c>
      <c r="K89" s="2">
        <v>482</v>
      </c>
      <c r="L89" s="2">
        <f t="shared" si="5"/>
        <v>523</v>
      </c>
      <c r="M89" s="8">
        <f t="shared" si="6"/>
        <v>3.4416826003824093</v>
      </c>
    </row>
    <row r="90" spans="1:13" x14ac:dyDescent="0.25">
      <c r="A90" s="10" t="s">
        <v>15</v>
      </c>
      <c r="B90" s="10" t="s">
        <v>242</v>
      </c>
      <c r="C90" s="2">
        <v>42</v>
      </c>
      <c r="D90" s="2">
        <v>24</v>
      </c>
      <c r="E90" s="7" t="s">
        <v>243</v>
      </c>
      <c r="F90" s="2" t="s">
        <v>109</v>
      </c>
      <c r="G90" s="2">
        <v>5</v>
      </c>
      <c r="H90" s="2">
        <v>14</v>
      </c>
      <c r="I90" s="2">
        <v>4</v>
      </c>
      <c r="J90" s="2">
        <f t="shared" si="4"/>
        <v>9</v>
      </c>
      <c r="K90" s="2">
        <v>171</v>
      </c>
      <c r="L90" s="2">
        <f t="shared" si="5"/>
        <v>194</v>
      </c>
      <c r="M90" s="8">
        <f t="shared" si="6"/>
        <v>4.6391752577319592</v>
      </c>
    </row>
    <row r="91" spans="1:13" x14ac:dyDescent="0.25">
      <c r="A91" s="6" t="s">
        <v>3</v>
      </c>
      <c r="B91" s="6" t="s">
        <v>244</v>
      </c>
      <c r="C91" s="2">
        <v>42</v>
      </c>
      <c r="D91" s="2">
        <v>25</v>
      </c>
      <c r="E91" s="7" t="str">
        <f>C91&amp;D91</f>
        <v>4225</v>
      </c>
      <c r="F91" s="2" t="s">
        <v>106</v>
      </c>
      <c r="G91" s="2">
        <v>0</v>
      </c>
      <c r="H91" s="2">
        <v>13</v>
      </c>
      <c r="I91" s="2">
        <v>0</v>
      </c>
      <c r="J91" s="2">
        <f t="shared" si="4"/>
        <v>0</v>
      </c>
      <c r="K91" s="2">
        <v>122</v>
      </c>
      <c r="L91" s="2">
        <f t="shared" si="5"/>
        <v>135</v>
      </c>
      <c r="M91" s="8">
        <f t="shared" si="6"/>
        <v>0</v>
      </c>
    </row>
    <row r="92" spans="1:13" x14ac:dyDescent="0.25">
      <c r="A92" s="9" t="s">
        <v>6</v>
      </c>
      <c r="B92" s="9" t="s">
        <v>245</v>
      </c>
      <c r="C92" s="2">
        <v>42</v>
      </c>
      <c r="D92" s="2">
        <v>26</v>
      </c>
      <c r="E92" s="7" t="s">
        <v>246</v>
      </c>
      <c r="F92" s="2" t="s">
        <v>25</v>
      </c>
      <c r="G92" s="2">
        <v>1</v>
      </c>
      <c r="H92" s="2">
        <v>11</v>
      </c>
      <c r="I92" s="2">
        <v>2</v>
      </c>
      <c r="J92" s="2">
        <f t="shared" si="4"/>
        <v>3</v>
      </c>
      <c r="K92" s="2">
        <v>108</v>
      </c>
      <c r="L92" s="2">
        <f t="shared" si="5"/>
        <v>122</v>
      </c>
      <c r="M92" s="8">
        <f t="shared" si="6"/>
        <v>2.459016393442623</v>
      </c>
    </row>
    <row r="93" spans="1:13" x14ac:dyDescent="0.25">
      <c r="A93" s="9" t="s">
        <v>6</v>
      </c>
      <c r="B93" s="9" t="s">
        <v>247</v>
      </c>
      <c r="C93" s="2">
        <v>42</v>
      </c>
      <c r="D93" s="2">
        <v>27</v>
      </c>
      <c r="E93" s="7" t="s">
        <v>248</v>
      </c>
      <c r="F93" s="2" t="s">
        <v>98</v>
      </c>
      <c r="G93" s="2">
        <v>4</v>
      </c>
      <c r="H93" s="2">
        <v>8</v>
      </c>
      <c r="I93" s="2">
        <v>4</v>
      </c>
      <c r="J93" s="2">
        <f t="shared" si="4"/>
        <v>8</v>
      </c>
      <c r="K93" s="2">
        <v>164</v>
      </c>
      <c r="L93" s="2">
        <f t="shared" si="5"/>
        <v>180</v>
      </c>
      <c r="M93" s="8">
        <f t="shared" si="6"/>
        <v>4.4444444444444446</v>
      </c>
    </row>
    <row r="94" spans="1:13" x14ac:dyDescent="0.25">
      <c r="A94" s="9" t="s">
        <v>6</v>
      </c>
      <c r="B94" s="9" t="s">
        <v>249</v>
      </c>
      <c r="C94" s="2">
        <v>42</v>
      </c>
      <c r="D94" s="2">
        <v>28</v>
      </c>
      <c r="E94" s="7" t="s">
        <v>250</v>
      </c>
      <c r="F94" s="2" t="s">
        <v>205</v>
      </c>
      <c r="G94" s="2">
        <v>1</v>
      </c>
      <c r="H94" s="2">
        <v>6</v>
      </c>
      <c r="I94" s="2">
        <v>4</v>
      </c>
      <c r="J94" s="2">
        <f t="shared" si="4"/>
        <v>5</v>
      </c>
      <c r="K94" s="2">
        <v>172</v>
      </c>
      <c r="L94" s="2">
        <f t="shared" si="5"/>
        <v>183</v>
      </c>
      <c r="M94" s="8">
        <f t="shared" si="6"/>
        <v>2.7322404371584699</v>
      </c>
    </row>
    <row r="95" spans="1:13" x14ac:dyDescent="0.25">
      <c r="A95" s="13" t="s">
        <v>26</v>
      </c>
      <c r="B95" s="13" t="s">
        <v>251</v>
      </c>
      <c r="C95" s="2">
        <v>42</v>
      </c>
      <c r="D95" s="2">
        <v>29</v>
      </c>
      <c r="E95" s="7" t="s">
        <v>252</v>
      </c>
      <c r="F95" s="2" t="s">
        <v>253</v>
      </c>
      <c r="G95" s="2">
        <v>1</v>
      </c>
      <c r="H95" s="2">
        <v>16</v>
      </c>
      <c r="I95" s="2">
        <v>5</v>
      </c>
      <c r="J95" s="2">
        <f t="shared" si="4"/>
        <v>6</v>
      </c>
      <c r="K95" s="2">
        <v>170</v>
      </c>
      <c r="L95" s="2">
        <f t="shared" si="5"/>
        <v>192</v>
      </c>
      <c r="M95" s="8">
        <f t="shared" si="6"/>
        <v>3.125</v>
      </c>
    </row>
    <row r="96" spans="1:13" x14ac:dyDescent="0.25">
      <c r="A96" s="10" t="s">
        <v>15</v>
      </c>
      <c r="B96" s="10" t="s">
        <v>254</v>
      </c>
      <c r="C96" s="2">
        <v>42</v>
      </c>
      <c r="D96" s="2">
        <v>30</v>
      </c>
      <c r="E96" s="7" t="s">
        <v>255</v>
      </c>
      <c r="F96" s="2" t="s">
        <v>32</v>
      </c>
      <c r="G96" s="2">
        <v>3</v>
      </c>
      <c r="H96" s="2">
        <v>23</v>
      </c>
      <c r="I96" s="2">
        <v>2</v>
      </c>
      <c r="J96" s="2">
        <f t="shared" si="4"/>
        <v>5</v>
      </c>
      <c r="K96" s="2">
        <v>138</v>
      </c>
      <c r="L96" s="2">
        <f t="shared" si="5"/>
        <v>166</v>
      </c>
      <c r="M96" s="8">
        <f t="shared" si="6"/>
        <v>3.0120481927710845</v>
      </c>
    </row>
    <row r="97" spans="1:13" x14ac:dyDescent="0.25">
      <c r="A97" s="16" t="s">
        <v>40</v>
      </c>
      <c r="B97" s="16" t="s">
        <v>256</v>
      </c>
      <c r="C97" s="2">
        <v>42</v>
      </c>
      <c r="D97" s="2">
        <v>31</v>
      </c>
      <c r="E97" s="7" t="s">
        <v>257</v>
      </c>
      <c r="F97" s="2" t="s">
        <v>163</v>
      </c>
      <c r="G97" s="2">
        <v>4</v>
      </c>
      <c r="H97" s="2">
        <v>10</v>
      </c>
      <c r="I97" s="2">
        <v>1</v>
      </c>
      <c r="J97" s="2">
        <f t="shared" si="4"/>
        <v>5</v>
      </c>
      <c r="K97" s="2">
        <v>110</v>
      </c>
      <c r="L97" s="2">
        <f t="shared" si="5"/>
        <v>125</v>
      </c>
      <c r="M97" s="8">
        <f t="shared" si="6"/>
        <v>4</v>
      </c>
    </row>
    <row r="98" spans="1:13" x14ac:dyDescent="0.25">
      <c r="A98" s="11" t="s">
        <v>19</v>
      </c>
      <c r="B98" s="12" t="s">
        <v>258</v>
      </c>
      <c r="C98" s="2">
        <v>42</v>
      </c>
      <c r="D98" s="2">
        <v>32</v>
      </c>
      <c r="E98" s="7" t="s">
        <v>259</v>
      </c>
      <c r="F98" s="2" t="s">
        <v>260</v>
      </c>
      <c r="G98" s="2">
        <v>1</v>
      </c>
      <c r="H98" s="2">
        <v>3</v>
      </c>
      <c r="I98" s="2">
        <v>0</v>
      </c>
      <c r="J98" s="2">
        <f t="shared" si="4"/>
        <v>1</v>
      </c>
      <c r="K98" s="2">
        <v>46</v>
      </c>
      <c r="L98" s="2">
        <f t="shared" ref="L98:L123" si="7">H98+J98+K98</f>
        <v>50</v>
      </c>
      <c r="M98" s="8">
        <f t="shared" si="6"/>
        <v>2</v>
      </c>
    </row>
    <row r="99" spans="1:13" x14ac:dyDescent="0.25">
      <c r="A99" s="16" t="s">
        <v>40</v>
      </c>
      <c r="B99" s="16" t="s">
        <v>261</v>
      </c>
      <c r="C99" s="2">
        <v>42</v>
      </c>
      <c r="D99" s="2">
        <v>33</v>
      </c>
      <c r="E99" s="7" t="s">
        <v>262</v>
      </c>
      <c r="F99" s="2" t="s">
        <v>92</v>
      </c>
      <c r="G99" s="2">
        <v>5</v>
      </c>
      <c r="H99" s="2">
        <v>14</v>
      </c>
      <c r="I99" s="2">
        <v>3</v>
      </c>
      <c r="J99" s="2">
        <f t="shared" si="4"/>
        <v>8</v>
      </c>
      <c r="K99" s="2">
        <v>130</v>
      </c>
      <c r="L99" s="2">
        <f t="shared" si="7"/>
        <v>152</v>
      </c>
      <c r="M99" s="8">
        <f t="shared" si="6"/>
        <v>5.2631578947368416</v>
      </c>
    </row>
    <row r="100" spans="1:13" x14ac:dyDescent="0.25">
      <c r="A100" s="16" t="s">
        <v>40</v>
      </c>
      <c r="B100" s="16" t="s">
        <v>263</v>
      </c>
      <c r="C100" s="2">
        <v>42</v>
      </c>
      <c r="D100" s="2">
        <v>34</v>
      </c>
      <c r="E100" s="7" t="s">
        <v>264</v>
      </c>
      <c r="F100" s="2" t="s">
        <v>43</v>
      </c>
      <c r="G100" s="2">
        <v>3</v>
      </c>
      <c r="H100" s="2">
        <v>11</v>
      </c>
      <c r="I100" s="2">
        <v>4</v>
      </c>
      <c r="J100" s="2">
        <f t="shared" si="4"/>
        <v>7</v>
      </c>
      <c r="K100" s="2">
        <v>178</v>
      </c>
      <c r="L100" s="2">
        <f t="shared" si="7"/>
        <v>196</v>
      </c>
      <c r="M100" s="8">
        <f t="shared" si="6"/>
        <v>3.5714285714285712</v>
      </c>
    </row>
    <row r="101" spans="1:13" x14ac:dyDescent="0.25">
      <c r="A101" s="10" t="s">
        <v>15</v>
      </c>
      <c r="B101" s="10" t="s">
        <v>265</v>
      </c>
      <c r="C101" s="2">
        <v>42</v>
      </c>
      <c r="D101" s="2">
        <v>35</v>
      </c>
      <c r="E101" s="7" t="s">
        <v>266</v>
      </c>
      <c r="F101" s="2" t="s">
        <v>55</v>
      </c>
      <c r="G101" s="2">
        <v>3</v>
      </c>
      <c r="H101" s="2">
        <v>8</v>
      </c>
      <c r="I101" s="2">
        <v>3</v>
      </c>
      <c r="J101" s="2">
        <f t="shared" si="4"/>
        <v>6</v>
      </c>
      <c r="K101" s="2">
        <v>144</v>
      </c>
      <c r="L101" s="2">
        <f t="shared" si="7"/>
        <v>158</v>
      </c>
      <c r="M101" s="8">
        <f t="shared" si="6"/>
        <v>3.79746835443038</v>
      </c>
    </row>
    <row r="102" spans="1:13" x14ac:dyDescent="0.25">
      <c r="A102" s="11" t="s">
        <v>19</v>
      </c>
      <c r="B102" s="12" t="s">
        <v>267</v>
      </c>
      <c r="C102" s="2">
        <v>42</v>
      </c>
      <c r="D102" s="2">
        <v>36</v>
      </c>
      <c r="E102" s="7" t="s">
        <v>268</v>
      </c>
      <c r="F102" s="2" t="s">
        <v>269</v>
      </c>
      <c r="G102" s="2">
        <v>4</v>
      </c>
      <c r="H102" s="2">
        <v>7</v>
      </c>
      <c r="I102" s="2">
        <v>2</v>
      </c>
      <c r="J102" s="2">
        <f t="shared" si="4"/>
        <v>6</v>
      </c>
      <c r="K102" s="2">
        <v>81</v>
      </c>
      <c r="L102" s="2">
        <f t="shared" si="7"/>
        <v>94</v>
      </c>
      <c r="M102" s="8">
        <f t="shared" si="6"/>
        <v>6.3829787234042552</v>
      </c>
    </row>
    <row r="103" spans="1:13" x14ac:dyDescent="0.25">
      <c r="A103" s="10" t="s">
        <v>15</v>
      </c>
      <c r="B103" s="10" t="s">
        <v>270</v>
      </c>
      <c r="C103" s="2">
        <v>42</v>
      </c>
      <c r="D103" s="2">
        <v>37</v>
      </c>
      <c r="E103" s="7" t="s">
        <v>271</v>
      </c>
      <c r="F103" s="2" t="s">
        <v>112</v>
      </c>
      <c r="G103" s="2">
        <v>5</v>
      </c>
      <c r="H103" s="2">
        <v>14</v>
      </c>
      <c r="I103" s="2">
        <v>3</v>
      </c>
      <c r="J103" s="2">
        <f t="shared" si="4"/>
        <v>8</v>
      </c>
      <c r="K103" s="2">
        <v>118</v>
      </c>
      <c r="L103" s="2">
        <f t="shared" si="7"/>
        <v>140</v>
      </c>
      <c r="M103" s="8">
        <f t="shared" si="6"/>
        <v>5.7142857142857144</v>
      </c>
    </row>
    <row r="104" spans="1:13" x14ac:dyDescent="0.25">
      <c r="A104" s="21" t="s">
        <v>180</v>
      </c>
      <c r="B104" s="21" t="s">
        <v>272</v>
      </c>
      <c r="C104" s="2">
        <v>42</v>
      </c>
      <c r="D104" s="2">
        <v>38</v>
      </c>
      <c r="E104" s="7" t="s">
        <v>273</v>
      </c>
      <c r="F104" s="2" t="s">
        <v>196</v>
      </c>
      <c r="G104" s="2">
        <v>3</v>
      </c>
      <c r="H104" s="2">
        <v>9</v>
      </c>
      <c r="I104" s="2">
        <v>5</v>
      </c>
      <c r="J104" s="2">
        <f t="shared" si="4"/>
        <v>8</v>
      </c>
      <c r="K104" s="2">
        <v>129</v>
      </c>
      <c r="L104" s="2">
        <f t="shared" si="7"/>
        <v>146</v>
      </c>
      <c r="M104" s="8">
        <f t="shared" si="6"/>
        <v>5.4794520547945202</v>
      </c>
    </row>
    <row r="105" spans="1:13" x14ac:dyDescent="0.25">
      <c r="A105" s="6" t="s">
        <v>3</v>
      </c>
      <c r="B105" s="6" t="s">
        <v>274</v>
      </c>
      <c r="C105" s="2">
        <v>42</v>
      </c>
      <c r="D105" s="2">
        <v>39</v>
      </c>
      <c r="E105" s="7" t="str">
        <f>C105&amp;D105</f>
        <v>4239</v>
      </c>
      <c r="F105" s="2" t="s">
        <v>152</v>
      </c>
      <c r="G105" s="2">
        <v>4</v>
      </c>
      <c r="H105" s="2">
        <v>14</v>
      </c>
      <c r="I105" s="2">
        <v>8</v>
      </c>
      <c r="J105" s="2">
        <f t="shared" si="4"/>
        <v>12</v>
      </c>
      <c r="K105" s="2">
        <v>184</v>
      </c>
      <c r="L105" s="2">
        <f t="shared" si="7"/>
        <v>210</v>
      </c>
      <c r="M105" s="8">
        <f t="shared" si="6"/>
        <v>5.7142857142857144</v>
      </c>
    </row>
    <row r="106" spans="1:13" x14ac:dyDescent="0.25">
      <c r="A106" s="13" t="s">
        <v>26</v>
      </c>
      <c r="B106" s="13" t="s">
        <v>275</v>
      </c>
      <c r="C106" s="2">
        <v>42</v>
      </c>
      <c r="D106" s="2">
        <v>40</v>
      </c>
      <c r="E106" s="7" t="s">
        <v>276</v>
      </c>
      <c r="F106" s="2" t="s">
        <v>277</v>
      </c>
      <c r="G106" s="2">
        <v>4</v>
      </c>
      <c r="H106" s="2">
        <v>8</v>
      </c>
      <c r="I106" s="2">
        <v>9</v>
      </c>
      <c r="J106" s="2">
        <f t="shared" si="4"/>
        <v>13</v>
      </c>
      <c r="K106" s="2">
        <v>209</v>
      </c>
      <c r="L106" s="2">
        <f t="shared" si="7"/>
        <v>230</v>
      </c>
      <c r="M106" s="8">
        <f t="shared" si="6"/>
        <v>5.6521739130434785</v>
      </c>
    </row>
    <row r="107" spans="1:13" x14ac:dyDescent="0.25">
      <c r="A107" s="21" t="s">
        <v>180</v>
      </c>
      <c r="B107" s="21" t="s">
        <v>278</v>
      </c>
      <c r="C107" s="2">
        <v>42</v>
      </c>
      <c r="D107" s="2">
        <v>42</v>
      </c>
      <c r="E107" s="7" t="s">
        <v>279</v>
      </c>
      <c r="F107" s="2" t="s">
        <v>191</v>
      </c>
      <c r="G107" s="2">
        <v>4</v>
      </c>
      <c r="H107" s="2">
        <v>9</v>
      </c>
      <c r="I107" s="2">
        <v>4</v>
      </c>
      <c r="J107" s="2">
        <f t="shared" si="4"/>
        <v>8</v>
      </c>
      <c r="K107" s="2">
        <v>216</v>
      </c>
      <c r="L107" s="2">
        <f t="shared" si="7"/>
        <v>233</v>
      </c>
      <c r="M107" s="8">
        <f t="shared" si="6"/>
        <v>3.4334763948497855</v>
      </c>
    </row>
    <row r="108" spans="1:13" x14ac:dyDescent="0.25">
      <c r="A108" s="16" t="s">
        <v>40</v>
      </c>
      <c r="B108" s="16" t="s">
        <v>280</v>
      </c>
      <c r="C108" s="2">
        <v>42</v>
      </c>
      <c r="D108" s="2">
        <v>43</v>
      </c>
      <c r="E108" s="7" t="s">
        <v>281</v>
      </c>
      <c r="F108" s="2" t="s">
        <v>80</v>
      </c>
      <c r="G108" s="2">
        <v>7</v>
      </c>
      <c r="H108" s="2">
        <v>14</v>
      </c>
      <c r="I108" s="2">
        <v>4</v>
      </c>
      <c r="J108" s="2">
        <f t="shared" si="4"/>
        <v>11</v>
      </c>
      <c r="K108" s="2">
        <v>197</v>
      </c>
      <c r="L108" s="2">
        <f t="shared" si="7"/>
        <v>222</v>
      </c>
      <c r="M108" s="8">
        <f t="shared" si="6"/>
        <v>4.954954954954955</v>
      </c>
    </row>
    <row r="109" spans="1:13" x14ac:dyDescent="0.25">
      <c r="A109" s="16" t="s">
        <v>40</v>
      </c>
      <c r="B109" s="16" t="s">
        <v>282</v>
      </c>
      <c r="C109" s="2">
        <v>42</v>
      </c>
      <c r="D109" s="2">
        <v>44</v>
      </c>
      <c r="E109" s="7" t="s">
        <v>283</v>
      </c>
      <c r="F109" s="2" t="s">
        <v>139</v>
      </c>
      <c r="G109" s="2">
        <v>6</v>
      </c>
      <c r="H109" s="2">
        <v>21</v>
      </c>
      <c r="I109" s="2">
        <v>21</v>
      </c>
      <c r="J109" s="2">
        <f t="shared" si="4"/>
        <v>27</v>
      </c>
      <c r="K109" s="2">
        <v>149</v>
      </c>
      <c r="L109" s="2">
        <f t="shared" si="7"/>
        <v>197</v>
      </c>
      <c r="M109" s="8">
        <f t="shared" si="6"/>
        <v>13.705583756345177</v>
      </c>
    </row>
    <row r="110" spans="1:13" x14ac:dyDescent="0.25">
      <c r="A110" s="9" t="s">
        <v>6</v>
      </c>
      <c r="B110" s="9" t="s">
        <v>284</v>
      </c>
      <c r="C110" s="2">
        <v>43</v>
      </c>
      <c r="D110" s="2">
        <v>1</v>
      </c>
      <c r="E110" s="7" t="s">
        <v>285</v>
      </c>
      <c r="F110" s="2" t="s">
        <v>115</v>
      </c>
      <c r="G110" s="2">
        <v>5</v>
      </c>
      <c r="H110" s="2">
        <v>5</v>
      </c>
      <c r="I110" s="2">
        <v>3</v>
      </c>
      <c r="J110" s="2">
        <f t="shared" si="4"/>
        <v>8</v>
      </c>
      <c r="K110" s="2">
        <v>52</v>
      </c>
      <c r="L110" s="2">
        <f t="shared" si="7"/>
        <v>65</v>
      </c>
      <c r="M110" s="8">
        <f t="shared" si="6"/>
        <v>12.307692307692308</v>
      </c>
    </row>
    <row r="111" spans="1:13" x14ac:dyDescent="0.25">
      <c r="A111" s="9" t="s">
        <v>6</v>
      </c>
      <c r="B111" s="9" t="s">
        <v>286</v>
      </c>
      <c r="C111" s="2">
        <v>43</v>
      </c>
      <c r="D111" s="2">
        <v>2</v>
      </c>
      <c r="E111" s="7" t="s">
        <v>287</v>
      </c>
      <c r="F111" s="2" t="s">
        <v>155</v>
      </c>
      <c r="G111" s="2">
        <v>3</v>
      </c>
      <c r="H111" s="2">
        <v>24</v>
      </c>
      <c r="I111" s="2">
        <v>2</v>
      </c>
      <c r="J111" s="2">
        <f t="shared" si="4"/>
        <v>5</v>
      </c>
      <c r="K111" s="2">
        <v>82</v>
      </c>
      <c r="L111" s="2">
        <f t="shared" si="7"/>
        <v>111</v>
      </c>
      <c r="M111" s="8">
        <f t="shared" si="6"/>
        <v>4.5045045045045047</v>
      </c>
    </row>
    <row r="112" spans="1:13" x14ac:dyDescent="0.25">
      <c r="A112" s="22" t="s">
        <v>288</v>
      </c>
      <c r="B112" s="22" t="s">
        <v>289</v>
      </c>
      <c r="C112" s="2">
        <v>43</v>
      </c>
      <c r="D112" s="2">
        <v>3</v>
      </c>
      <c r="E112" s="7" t="s">
        <v>290</v>
      </c>
      <c r="F112" s="2" t="s">
        <v>291</v>
      </c>
      <c r="G112" s="2">
        <v>0</v>
      </c>
      <c r="H112" s="2">
        <v>8</v>
      </c>
      <c r="I112" s="2">
        <v>4</v>
      </c>
      <c r="J112" s="2">
        <f t="shared" si="4"/>
        <v>4</v>
      </c>
      <c r="K112" s="2">
        <v>36</v>
      </c>
      <c r="L112" s="2">
        <f t="shared" si="7"/>
        <v>48</v>
      </c>
      <c r="M112" s="8">
        <f t="shared" si="6"/>
        <v>8.3333333333333321</v>
      </c>
    </row>
    <row r="113" spans="1:13" x14ac:dyDescent="0.25">
      <c r="A113" s="21" t="s">
        <v>180</v>
      </c>
      <c r="B113" s="21" t="s">
        <v>292</v>
      </c>
      <c r="C113" s="2">
        <v>43</v>
      </c>
      <c r="D113" s="2">
        <v>5</v>
      </c>
      <c r="E113" s="7" t="s">
        <v>293</v>
      </c>
      <c r="F113" s="2" t="s">
        <v>183</v>
      </c>
      <c r="G113" s="2">
        <v>4</v>
      </c>
      <c r="H113" s="2">
        <v>22</v>
      </c>
      <c r="I113" s="2">
        <v>3</v>
      </c>
      <c r="J113" s="2">
        <f t="shared" si="4"/>
        <v>7</v>
      </c>
      <c r="K113" s="2">
        <v>146</v>
      </c>
      <c r="L113" s="2">
        <f t="shared" si="7"/>
        <v>175</v>
      </c>
      <c r="M113" s="8">
        <f t="shared" si="6"/>
        <v>4</v>
      </c>
    </row>
    <row r="114" spans="1:13" x14ac:dyDescent="0.25">
      <c r="A114" s="16" t="s">
        <v>40</v>
      </c>
      <c r="B114" s="16" t="s">
        <v>294</v>
      </c>
      <c r="C114" s="2">
        <v>43</v>
      </c>
      <c r="D114" s="2">
        <v>6</v>
      </c>
      <c r="E114" s="7" t="s">
        <v>295</v>
      </c>
      <c r="F114" s="2" t="s">
        <v>92</v>
      </c>
      <c r="G114" s="2">
        <v>2</v>
      </c>
      <c r="H114" s="2">
        <v>27</v>
      </c>
      <c r="I114" s="2">
        <v>3</v>
      </c>
      <c r="J114" s="2">
        <f t="shared" si="4"/>
        <v>5</v>
      </c>
      <c r="K114" s="2">
        <v>232</v>
      </c>
      <c r="L114" s="2">
        <f t="shared" si="7"/>
        <v>264</v>
      </c>
      <c r="M114" s="8">
        <f t="shared" si="6"/>
        <v>1.893939393939394</v>
      </c>
    </row>
    <row r="115" spans="1:13" x14ac:dyDescent="0.25">
      <c r="A115" s="14" t="s">
        <v>33</v>
      </c>
      <c r="B115" s="15" t="s">
        <v>296</v>
      </c>
      <c r="C115" s="2">
        <v>43</v>
      </c>
      <c r="D115" s="2">
        <v>7</v>
      </c>
      <c r="E115" s="7" t="s">
        <v>297</v>
      </c>
      <c r="F115" s="2" t="s">
        <v>77</v>
      </c>
      <c r="G115" s="2">
        <v>6</v>
      </c>
      <c r="H115" s="2">
        <v>10</v>
      </c>
      <c r="I115" s="2">
        <v>6</v>
      </c>
      <c r="J115" s="2">
        <f t="shared" si="4"/>
        <v>12</v>
      </c>
      <c r="K115" s="2">
        <v>87</v>
      </c>
      <c r="L115" s="2">
        <f t="shared" si="7"/>
        <v>109</v>
      </c>
      <c r="M115" s="8">
        <f t="shared" si="6"/>
        <v>11.009174311926607</v>
      </c>
    </row>
    <row r="116" spans="1:13" x14ac:dyDescent="0.25">
      <c r="A116" s="14" t="s">
        <v>33</v>
      </c>
      <c r="B116" s="15" t="s">
        <v>298</v>
      </c>
      <c r="C116" s="2">
        <v>43</v>
      </c>
      <c r="D116" s="2">
        <v>8</v>
      </c>
      <c r="E116" s="7" t="s">
        <v>299</v>
      </c>
      <c r="F116" s="2" t="s">
        <v>74</v>
      </c>
      <c r="G116" s="2">
        <v>5</v>
      </c>
      <c r="H116" s="2">
        <v>6</v>
      </c>
      <c r="I116" s="2">
        <v>4</v>
      </c>
      <c r="J116" s="2">
        <f t="shared" si="4"/>
        <v>9</v>
      </c>
      <c r="K116" s="2">
        <v>139</v>
      </c>
      <c r="L116" s="2">
        <f t="shared" si="7"/>
        <v>154</v>
      </c>
      <c r="M116" s="8">
        <f t="shared" si="6"/>
        <v>5.8441558441558437</v>
      </c>
    </row>
    <row r="117" spans="1:13" x14ac:dyDescent="0.25">
      <c r="A117" s="6" t="s">
        <v>3</v>
      </c>
      <c r="B117" s="6" t="s">
        <v>300</v>
      </c>
      <c r="C117" s="2">
        <v>43</v>
      </c>
      <c r="D117" s="2">
        <v>9</v>
      </c>
      <c r="E117" s="7" t="str">
        <f>C117&amp;"0"&amp;D117</f>
        <v>4309</v>
      </c>
      <c r="F117" s="2" t="s">
        <v>63</v>
      </c>
      <c r="G117" s="2">
        <v>3</v>
      </c>
      <c r="H117" s="2">
        <v>15</v>
      </c>
      <c r="I117" s="2">
        <v>5</v>
      </c>
      <c r="J117" s="2">
        <f t="shared" si="4"/>
        <v>8</v>
      </c>
      <c r="K117" s="2">
        <v>98</v>
      </c>
      <c r="L117" s="2">
        <f t="shared" si="7"/>
        <v>121</v>
      </c>
      <c r="M117" s="8">
        <f t="shared" si="6"/>
        <v>6.6115702479338845</v>
      </c>
    </row>
    <row r="118" spans="1:13" x14ac:dyDescent="0.25">
      <c r="A118" s="14" t="s">
        <v>33</v>
      </c>
      <c r="B118" s="15" t="s">
        <v>301</v>
      </c>
      <c r="C118" s="2">
        <v>43</v>
      </c>
      <c r="D118" s="2">
        <v>10</v>
      </c>
      <c r="E118" s="7" t="s">
        <v>302</v>
      </c>
      <c r="F118" s="2" t="s">
        <v>46</v>
      </c>
      <c r="G118" s="2">
        <v>1</v>
      </c>
      <c r="H118" s="2">
        <v>4</v>
      </c>
      <c r="I118" s="2">
        <v>2</v>
      </c>
      <c r="J118" s="2">
        <f t="shared" si="4"/>
        <v>3</v>
      </c>
      <c r="K118" s="2">
        <v>25</v>
      </c>
      <c r="L118" s="2">
        <f t="shared" si="7"/>
        <v>32</v>
      </c>
      <c r="M118" s="8">
        <f t="shared" si="6"/>
        <v>9.375</v>
      </c>
    </row>
    <row r="119" spans="1:13" x14ac:dyDescent="0.25">
      <c r="A119" s="16" t="s">
        <v>40</v>
      </c>
      <c r="B119" s="16" t="s">
        <v>303</v>
      </c>
      <c r="C119" s="2">
        <v>43</v>
      </c>
      <c r="D119" s="2">
        <v>11</v>
      </c>
      <c r="E119" s="7" t="s">
        <v>304</v>
      </c>
      <c r="F119" s="2" t="s">
        <v>172</v>
      </c>
      <c r="G119" s="2">
        <v>4</v>
      </c>
      <c r="H119" s="2">
        <v>10</v>
      </c>
      <c r="I119" s="2">
        <v>5</v>
      </c>
      <c r="J119" s="2">
        <f t="shared" si="4"/>
        <v>9</v>
      </c>
      <c r="K119" s="2">
        <v>106</v>
      </c>
      <c r="L119" s="2">
        <f t="shared" si="7"/>
        <v>125</v>
      </c>
      <c r="M119" s="8">
        <f t="shared" si="6"/>
        <v>7.1999999999999993</v>
      </c>
    </row>
    <row r="120" spans="1:13" x14ac:dyDescent="0.25">
      <c r="A120" s="14" t="s">
        <v>33</v>
      </c>
      <c r="B120" s="15" t="s">
        <v>305</v>
      </c>
      <c r="C120" s="2">
        <v>43</v>
      </c>
      <c r="D120" s="2">
        <v>12</v>
      </c>
      <c r="E120" s="7" t="s">
        <v>306</v>
      </c>
      <c r="F120" s="2" t="s">
        <v>36</v>
      </c>
      <c r="G120" s="2">
        <v>8</v>
      </c>
      <c r="H120" s="2">
        <v>10</v>
      </c>
      <c r="I120" s="2">
        <v>3</v>
      </c>
      <c r="J120" s="2">
        <f t="shared" si="4"/>
        <v>11</v>
      </c>
      <c r="K120" s="2">
        <v>148</v>
      </c>
      <c r="L120" s="2">
        <f t="shared" si="7"/>
        <v>169</v>
      </c>
      <c r="M120" s="8">
        <f t="shared" si="6"/>
        <v>6.5088757396449708</v>
      </c>
    </row>
    <row r="121" spans="1:13" x14ac:dyDescent="0.25">
      <c r="A121" s="16" t="s">
        <v>40</v>
      </c>
      <c r="B121" s="16" t="s">
        <v>307</v>
      </c>
      <c r="C121" s="2">
        <v>43</v>
      </c>
      <c r="D121" s="2">
        <v>13</v>
      </c>
      <c r="E121" s="7" t="s">
        <v>308</v>
      </c>
      <c r="F121" s="2" t="s">
        <v>83</v>
      </c>
      <c r="G121" s="2">
        <v>1</v>
      </c>
      <c r="H121" s="2">
        <v>5</v>
      </c>
      <c r="I121" s="2">
        <v>3</v>
      </c>
      <c r="J121" s="2">
        <f t="shared" si="4"/>
        <v>4</v>
      </c>
      <c r="K121" s="2">
        <v>55</v>
      </c>
      <c r="L121" s="2">
        <f t="shared" si="7"/>
        <v>64</v>
      </c>
      <c r="M121" s="8">
        <f t="shared" si="6"/>
        <v>6.25</v>
      </c>
    </row>
    <row r="122" spans="1:13" x14ac:dyDescent="0.25">
      <c r="A122" s="16" t="s">
        <v>40</v>
      </c>
      <c r="B122" s="16" t="s">
        <v>309</v>
      </c>
      <c r="C122" s="2">
        <v>43</v>
      </c>
      <c r="D122" s="2">
        <v>14</v>
      </c>
      <c r="E122" s="7" t="s">
        <v>310</v>
      </c>
      <c r="F122" s="2" t="s">
        <v>169</v>
      </c>
      <c r="G122" s="2">
        <v>5</v>
      </c>
      <c r="H122" s="2">
        <v>11</v>
      </c>
      <c r="I122" s="2">
        <v>1</v>
      </c>
      <c r="J122" s="2">
        <f t="shared" si="4"/>
        <v>6</v>
      </c>
      <c r="K122" s="2">
        <v>125</v>
      </c>
      <c r="L122" s="2">
        <f t="shared" si="7"/>
        <v>142</v>
      </c>
      <c r="M122" s="8">
        <f t="shared" si="6"/>
        <v>4.225352112676056</v>
      </c>
    </row>
    <row r="123" spans="1:13" x14ac:dyDescent="0.25">
      <c r="A123" s="9" t="s">
        <v>6</v>
      </c>
      <c r="B123" s="9" t="s">
        <v>311</v>
      </c>
      <c r="C123" s="2">
        <v>43</v>
      </c>
      <c r="D123" s="2">
        <v>15</v>
      </c>
      <c r="E123" s="7" t="s">
        <v>312</v>
      </c>
      <c r="F123" s="2" t="s">
        <v>95</v>
      </c>
      <c r="G123" s="2">
        <v>7</v>
      </c>
      <c r="H123" s="2">
        <v>5</v>
      </c>
      <c r="I123" s="2">
        <v>5</v>
      </c>
      <c r="J123" s="2">
        <f t="shared" si="4"/>
        <v>12</v>
      </c>
      <c r="K123" s="2">
        <v>54</v>
      </c>
      <c r="L123" s="2">
        <f t="shared" si="7"/>
        <v>71</v>
      </c>
      <c r="M123" s="8">
        <f t="shared" si="6"/>
        <v>16.901408450704224</v>
      </c>
    </row>
    <row r="124" spans="1:13" x14ac:dyDescent="0.25">
      <c r="A124" s="6" t="s">
        <v>3</v>
      </c>
      <c r="B124" s="6" t="s">
        <v>313</v>
      </c>
      <c r="C124" s="2">
        <v>43</v>
      </c>
      <c r="D124" s="2">
        <v>16</v>
      </c>
      <c r="E124" s="7" t="str">
        <f>C124&amp;D124</f>
        <v>4316</v>
      </c>
      <c r="F124" s="2" t="s">
        <v>123</v>
      </c>
      <c r="G124" s="2">
        <v>2</v>
      </c>
      <c r="H124" s="2">
        <v>16</v>
      </c>
      <c r="I124" s="2">
        <v>1</v>
      </c>
      <c r="J124" s="2">
        <f t="shared" si="4"/>
        <v>3</v>
      </c>
      <c r="K124" s="2"/>
      <c r="L124" s="2"/>
      <c r="M124" s="2"/>
    </row>
    <row r="125" spans="1:13" x14ac:dyDescent="0.25">
      <c r="A125" s="10" t="s">
        <v>15</v>
      </c>
      <c r="B125" s="10" t="s">
        <v>314</v>
      </c>
      <c r="C125" s="2">
        <v>43</v>
      </c>
      <c r="D125" s="2">
        <v>17</v>
      </c>
      <c r="E125" s="7" t="s">
        <v>315</v>
      </c>
      <c r="F125" s="2" t="s">
        <v>52</v>
      </c>
      <c r="G125" s="2">
        <v>3</v>
      </c>
      <c r="H125" s="2">
        <v>16</v>
      </c>
      <c r="I125" s="2">
        <v>9</v>
      </c>
      <c r="J125" s="2">
        <f t="shared" si="4"/>
        <v>12</v>
      </c>
      <c r="K125" s="2">
        <v>204</v>
      </c>
      <c r="L125" s="2">
        <f t="shared" ref="L125:L156" si="8">H125+J125+K125</f>
        <v>232</v>
      </c>
      <c r="M125" s="8">
        <f t="shared" ref="M125:M188" si="9">J125/L125*100</f>
        <v>5.1724137931034484</v>
      </c>
    </row>
    <row r="126" spans="1:13" x14ac:dyDescent="0.25">
      <c r="A126" s="10" t="s">
        <v>15</v>
      </c>
      <c r="B126" s="10" t="s">
        <v>316</v>
      </c>
      <c r="C126" s="2">
        <v>43</v>
      </c>
      <c r="D126" s="2">
        <v>18</v>
      </c>
      <c r="E126" s="7" t="s">
        <v>317</v>
      </c>
      <c r="F126" s="2" t="s">
        <v>18</v>
      </c>
      <c r="G126" s="2">
        <v>0</v>
      </c>
      <c r="H126" s="2">
        <v>10</v>
      </c>
      <c r="I126" s="2">
        <v>6</v>
      </c>
      <c r="J126" s="2">
        <f t="shared" si="4"/>
        <v>6</v>
      </c>
      <c r="K126" s="2">
        <v>166</v>
      </c>
      <c r="L126" s="2">
        <f t="shared" si="8"/>
        <v>182</v>
      </c>
      <c r="M126" s="8">
        <f t="shared" si="9"/>
        <v>3.296703296703297</v>
      </c>
    </row>
    <row r="127" spans="1:13" x14ac:dyDescent="0.25">
      <c r="A127" s="6" t="s">
        <v>3</v>
      </c>
      <c r="B127" s="6" t="s">
        <v>318</v>
      </c>
      <c r="C127" s="2">
        <v>43</v>
      </c>
      <c r="D127" s="2">
        <v>19</v>
      </c>
      <c r="E127" s="7" t="str">
        <f>C127&amp;D127</f>
        <v>4319</v>
      </c>
      <c r="F127" s="2" t="s">
        <v>128</v>
      </c>
      <c r="G127" s="2">
        <v>1</v>
      </c>
      <c r="H127" s="2">
        <v>5</v>
      </c>
      <c r="I127" s="2">
        <v>8</v>
      </c>
      <c r="J127" s="2">
        <f t="shared" si="4"/>
        <v>9</v>
      </c>
      <c r="K127" s="2">
        <v>131</v>
      </c>
      <c r="L127" s="2">
        <f t="shared" si="8"/>
        <v>145</v>
      </c>
      <c r="M127" s="8">
        <f t="shared" si="9"/>
        <v>6.2068965517241379</v>
      </c>
    </row>
    <row r="128" spans="1:13" x14ac:dyDescent="0.25">
      <c r="A128" s="10" t="s">
        <v>15</v>
      </c>
      <c r="B128" s="10" t="s">
        <v>319</v>
      </c>
      <c r="C128" s="2">
        <v>43</v>
      </c>
      <c r="D128" s="2">
        <v>20</v>
      </c>
      <c r="E128" s="7" t="s">
        <v>320</v>
      </c>
      <c r="F128" s="2" t="s">
        <v>150</v>
      </c>
      <c r="G128" s="2">
        <v>3</v>
      </c>
      <c r="H128" s="2">
        <v>13</v>
      </c>
      <c r="I128" s="2">
        <v>4</v>
      </c>
      <c r="J128" s="2">
        <f t="shared" si="4"/>
        <v>7</v>
      </c>
      <c r="K128" s="2">
        <v>177</v>
      </c>
      <c r="L128" s="2">
        <f t="shared" si="8"/>
        <v>197</v>
      </c>
      <c r="M128" s="8">
        <f t="shared" si="9"/>
        <v>3.5532994923857872</v>
      </c>
    </row>
    <row r="129" spans="1:13" x14ac:dyDescent="0.25">
      <c r="A129" s="10" t="s">
        <v>15</v>
      </c>
      <c r="B129" s="10" t="s">
        <v>321</v>
      </c>
      <c r="C129" s="2">
        <v>43</v>
      </c>
      <c r="D129" s="2">
        <v>21</v>
      </c>
      <c r="E129" s="7" t="s">
        <v>322</v>
      </c>
      <c r="F129" s="2" t="s">
        <v>66</v>
      </c>
      <c r="G129" s="2">
        <v>4</v>
      </c>
      <c r="H129" s="2">
        <v>17</v>
      </c>
      <c r="I129" s="2">
        <v>6</v>
      </c>
      <c r="J129" s="2">
        <f t="shared" si="4"/>
        <v>10</v>
      </c>
      <c r="K129" s="2">
        <v>208</v>
      </c>
      <c r="L129" s="2">
        <f t="shared" si="8"/>
        <v>235</v>
      </c>
      <c r="M129" s="8">
        <f t="shared" si="9"/>
        <v>4.2553191489361701</v>
      </c>
    </row>
    <row r="130" spans="1:13" x14ac:dyDescent="0.25">
      <c r="A130" s="21" t="s">
        <v>180</v>
      </c>
      <c r="B130" s="21" t="s">
        <v>323</v>
      </c>
      <c r="C130" s="2">
        <v>43</v>
      </c>
      <c r="D130" s="2">
        <v>22</v>
      </c>
      <c r="E130" s="7" t="s">
        <v>324</v>
      </c>
      <c r="F130" s="2" t="s">
        <v>188</v>
      </c>
      <c r="G130" s="2">
        <v>4</v>
      </c>
      <c r="H130" s="2">
        <v>21</v>
      </c>
      <c r="I130" s="2">
        <v>5</v>
      </c>
      <c r="J130" s="2">
        <f t="shared" ref="J130:J193" si="10">G130+I130</f>
        <v>9</v>
      </c>
      <c r="K130" s="2">
        <v>208</v>
      </c>
      <c r="L130" s="2">
        <f t="shared" si="8"/>
        <v>238</v>
      </c>
      <c r="M130" s="8">
        <f t="shared" si="9"/>
        <v>3.7815126050420167</v>
      </c>
    </row>
    <row r="131" spans="1:13" x14ac:dyDescent="0.25">
      <c r="A131" s="6" t="s">
        <v>3</v>
      </c>
      <c r="B131" s="6" t="s">
        <v>325</v>
      </c>
      <c r="C131" s="2">
        <v>43</v>
      </c>
      <c r="D131" s="2">
        <v>23</v>
      </c>
      <c r="E131" s="7" t="str">
        <f>C131&amp;D131</f>
        <v>4323</v>
      </c>
      <c r="F131" s="2" t="s">
        <v>5</v>
      </c>
      <c r="G131" s="2">
        <v>1</v>
      </c>
      <c r="H131" s="2">
        <v>8</v>
      </c>
      <c r="I131" s="2">
        <v>4</v>
      </c>
      <c r="J131" s="2">
        <f t="shared" si="10"/>
        <v>5</v>
      </c>
      <c r="K131" s="2">
        <v>77</v>
      </c>
      <c r="L131" s="2">
        <f t="shared" si="8"/>
        <v>90</v>
      </c>
      <c r="M131" s="8">
        <f t="shared" si="9"/>
        <v>5.5555555555555554</v>
      </c>
    </row>
    <row r="132" spans="1:13" x14ac:dyDescent="0.25">
      <c r="A132" s="9" t="s">
        <v>6</v>
      </c>
      <c r="B132" s="9" t="s">
        <v>326</v>
      </c>
      <c r="C132" s="2">
        <v>43</v>
      </c>
      <c r="D132" s="2">
        <v>24</v>
      </c>
      <c r="E132" s="7" t="s">
        <v>327</v>
      </c>
      <c r="F132" s="2" t="s">
        <v>9</v>
      </c>
      <c r="G132" s="2">
        <v>2</v>
      </c>
      <c r="H132" s="2">
        <v>7</v>
      </c>
      <c r="I132" s="2">
        <v>4</v>
      </c>
      <c r="J132" s="2">
        <f t="shared" si="10"/>
        <v>6</v>
      </c>
      <c r="K132" s="2">
        <v>81</v>
      </c>
      <c r="L132" s="2">
        <f t="shared" si="8"/>
        <v>94</v>
      </c>
      <c r="M132" s="8">
        <f t="shared" si="9"/>
        <v>6.3829787234042552</v>
      </c>
    </row>
    <row r="133" spans="1:13" x14ac:dyDescent="0.25">
      <c r="A133" s="11" t="s">
        <v>19</v>
      </c>
      <c r="B133" s="12" t="s">
        <v>328</v>
      </c>
      <c r="C133" s="2">
        <v>43</v>
      </c>
      <c r="D133" s="2">
        <v>25</v>
      </c>
      <c r="E133" s="7" t="s">
        <v>329</v>
      </c>
      <c r="F133" s="2" t="s">
        <v>330</v>
      </c>
      <c r="G133" s="2">
        <v>2</v>
      </c>
      <c r="H133" s="2">
        <v>1</v>
      </c>
      <c r="I133" s="2">
        <v>6</v>
      </c>
      <c r="J133" s="2">
        <f t="shared" si="10"/>
        <v>8</v>
      </c>
      <c r="K133" s="2">
        <v>50</v>
      </c>
      <c r="L133" s="2">
        <f t="shared" si="8"/>
        <v>59</v>
      </c>
      <c r="M133" s="8">
        <f t="shared" si="9"/>
        <v>13.559322033898304</v>
      </c>
    </row>
    <row r="134" spans="1:13" x14ac:dyDescent="0.25">
      <c r="A134" s="11" t="s">
        <v>19</v>
      </c>
      <c r="B134" s="12" t="s">
        <v>331</v>
      </c>
      <c r="C134" s="2">
        <v>43</v>
      </c>
      <c r="D134" s="2">
        <v>26</v>
      </c>
      <c r="E134" s="7" t="s">
        <v>332</v>
      </c>
      <c r="F134" s="2" t="s">
        <v>333</v>
      </c>
      <c r="G134" s="2">
        <v>1</v>
      </c>
      <c r="H134" s="2">
        <v>12</v>
      </c>
      <c r="I134" s="2">
        <v>11</v>
      </c>
      <c r="J134" s="2">
        <f t="shared" si="10"/>
        <v>12</v>
      </c>
      <c r="K134" s="2">
        <v>61</v>
      </c>
      <c r="L134" s="2">
        <f t="shared" si="8"/>
        <v>85</v>
      </c>
      <c r="M134" s="8">
        <f t="shared" si="9"/>
        <v>14.117647058823529</v>
      </c>
    </row>
    <row r="135" spans="1:13" x14ac:dyDescent="0.25">
      <c r="A135" s="13" t="s">
        <v>26</v>
      </c>
      <c r="B135" s="13" t="s">
        <v>334</v>
      </c>
      <c r="C135" s="2">
        <v>43</v>
      </c>
      <c r="D135" s="2">
        <v>27</v>
      </c>
      <c r="E135" s="7" t="s">
        <v>335</v>
      </c>
      <c r="F135" s="2" t="s">
        <v>336</v>
      </c>
      <c r="G135" s="2">
        <v>2</v>
      </c>
      <c r="H135" s="2">
        <v>7</v>
      </c>
      <c r="I135" s="2">
        <v>9</v>
      </c>
      <c r="J135" s="2">
        <f t="shared" si="10"/>
        <v>11</v>
      </c>
      <c r="K135" s="2">
        <v>57</v>
      </c>
      <c r="L135" s="2">
        <f t="shared" si="8"/>
        <v>75</v>
      </c>
      <c r="M135" s="8">
        <f t="shared" si="9"/>
        <v>14.666666666666666</v>
      </c>
    </row>
    <row r="136" spans="1:13" x14ac:dyDescent="0.25">
      <c r="A136" s="13" t="s">
        <v>26</v>
      </c>
      <c r="B136" s="13" t="s">
        <v>337</v>
      </c>
      <c r="C136" s="2">
        <v>43</v>
      </c>
      <c r="D136" s="2">
        <v>28</v>
      </c>
      <c r="E136" s="7" t="s">
        <v>338</v>
      </c>
      <c r="F136" s="20" t="s">
        <v>58</v>
      </c>
      <c r="G136" s="2">
        <v>1</v>
      </c>
      <c r="H136" s="2">
        <v>23</v>
      </c>
      <c r="I136" s="2">
        <v>36</v>
      </c>
      <c r="J136" s="2">
        <f t="shared" si="10"/>
        <v>37</v>
      </c>
      <c r="K136" s="2">
        <v>75</v>
      </c>
      <c r="L136" s="2">
        <f t="shared" si="8"/>
        <v>135</v>
      </c>
      <c r="M136" s="8">
        <f t="shared" si="9"/>
        <v>27.407407407407408</v>
      </c>
    </row>
    <row r="137" spans="1:13" x14ac:dyDescent="0.25">
      <c r="A137" s="13" t="s">
        <v>26</v>
      </c>
      <c r="B137" s="13" t="s">
        <v>339</v>
      </c>
      <c r="C137" s="2">
        <v>43</v>
      </c>
      <c r="D137" s="2">
        <v>29</v>
      </c>
      <c r="E137" s="7" t="s">
        <v>340</v>
      </c>
      <c r="F137" s="2" t="s">
        <v>131</v>
      </c>
      <c r="G137" s="2">
        <v>0</v>
      </c>
      <c r="H137" s="2">
        <v>3</v>
      </c>
      <c r="I137" s="2">
        <v>5</v>
      </c>
      <c r="J137" s="2">
        <f t="shared" si="10"/>
        <v>5</v>
      </c>
      <c r="K137" s="2">
        <v>52</v>
      </c>
      <c r="L137" s="2">
        <f t="shared" si="8"/>
        <v>60</v>
      </c>
      <c r="M137" s="8">
        <f t="shared" si="9"/>
        <v>8.3333333333333321</v>
      </c>
    </row>
    <row r="138" spans="1:13" x14ac:dyDescent="0.25">
      <c r="A138" s="11" t="s">
        <v>19</v>
      </c>
      <c r="B138" s="12" t="s">
        <v>341</v>
      </c>
      <c r="C138" s="2">
        <v>43</v>
      </c>
      <c r="D138" s="2">
        <v>30</v>
      </c>
      <c r="E138" s="7" t="s">
        <v>342</v>
      </c>
      <c r="F138" s="2" t="s">
        <v>343</v>
      </c>
      <c r="G138" s="2">
        <v>0</v>
      </c>
      <c r="H138" s="2">
        <v>8</v>
      </c>
      <c r="I138" s="2">
        <v>2</v>
      </c>
      <c r="J138" s="2">
        <f t="shared" si="10"/>
        <v>2</v>
      </c>
      <c r="K138" s="2">
        <v>61</v>
      </c>
      <c r="L138" s="2">
        <f t="shared" si="8"/>
        <v>71</v>
      </c>
      <c r="M138" s="8">
        <f t="shared" si="9"/>
        <v>2.8169014084507045</v>
      </c>
    </row>
    <row r="139" spans="1:13" x14ac:dyDescent="0.25">
      <c r="A139" s="11" t="s">
        <v>19</v>
      </c>
      <c r="B139" s="12" t="s">
        <v>344</v>
      </c>
      <c r="C139" s="2">
        <v>43</v>
      </c>
      <c r="D139" s="2">
        <v>31</v>
      </c>
      <c r="E139" s="7" t="s">
        <v>345</v>
      </c>
      <c r="F139" s="2" t="s">
        <v>346</v>
      </c>
      <c r="G139" s="2">
        <v>1</v>
      </c>
      <c r="H139" s="2">
        <v>10</v>
      </c>
      <c r="I139" s="2">
        <v>13</v>
      </c>
      <c r="J139" s="2">
        <f t="shared" si="10"/>
        <v>14</v>
      </c>
      <c r="K139" s="2">
        <v>110</v>
      </c>
      <c r="L139" s="2">
        <f t="shared" si="8"/>
        <v>134</v>
      </c>
      <c r="M139" s="8">
        <f t="shared" si="9"/>
        <v>10.44776119402985</v>
      </c>
    </row>
    <row r="140" spans="1:13" x14ac:dyDescent="0.25">
      <c r="A140" s="13" t="s">
        <v>26</v>
      </c>
      <c r="B140" s="13" t="s">
        <v>347</v>
      </c>
      <c r="C140" s="2">
        <v>43</v>
      </c>
      <c r="D140" s="2">
        <v>32</v>
      </c>
      <c r="E140" s="7" t="s">
        <v>348</v>
      </c>
      <c r="F140" s="2" t="s">
        <v>211</v>
      </c>
      <c r="G140" s="2">
        <v>1</v>
      </c>
      <c r="H140" s="2">
        <v>6</v>
      </c>
      <c r="I140" s="2">
        <v>9</v>
      </c>
      <c r="J140" s="2">
        <f t="shared" si="10"/>
        <v>10</v>
      </c>
      <c r="K140" s="2">
        <v>118</v>
      </c>
      <c r="L140" s="2">
        <f t="shared" si="8"/>
        <v>134</v>
      </c>
      <c r="M140" s="8">
        <f t="shared" si="9"/>
        <v>7.4626865671641784</v>
      </c>
    </row>
    <row r="141" spans="1:13" x14ac:dyDescent="0.25">
      <c r="A141" s="6" t="s">
        <v>3</v>
      </c>
      <c r="B141" s="6" t="s">
        <v>349</v>
      </c>
      <c r="C141" s="2">
        <v>43</v>
      </c>
      <c r="D141" s="2">
        <v>34</v>
      </c>
      <c r="E141" s="7" t="str">
        <f>C141&amp;D141</f>
        <v>4334</v>
      </c>
      <c r="F141" s="2" t="s">
        <v>193</v>
      </c>
      <c r="G141" s="2">
        <v>4</v>
      </c>
      <c r="H141" s="2">
        <v>4</v>
      </c>
      <c r="I141" s="2">
        <v>8</v>
      </c>
      <c r="J141" s="2">
        <f t="shared" si="10"/>
        <v>12</v>
      </c>
      <c r="K141" s="2">
        <v>162</v>
      </c>
      <c r="L141" s="2">
        <f t="shared" si="8"/>
        <v>178</v>
      </c>
      <c r="M141" s="8">
        <f t="shared" si="9"/>
        <v>6.7415730337078648</v>
      </c>
    </row>
    <row r="142" spans="1:13" x14ac:dyDescent="0.25">
      <c r="A142" s="22" t="s">
        <v>288</v>
      </c>
      <c r="B142" s="22" t="s">
        <v>350</v>
      </c>
      <c r="C142" s="2">
        <v>43</v>
      </c>
      <c r="D142" s="2">
        <v>35</v>
      </c>
      <c r="E142" s="7" t="s">
        <v>351</v>
      </c>
      <c r="F142" s="2" t="s">
        <v>352</v>
      </c>
      <c r="G142" s="2">
        <v>4</v>
      </c>
      <c r="H142" s="2">
        <v>10</v>
      </c>
      <c r="I142" s="2">
        <v>1</v>
      </c>
      <c r="J142" s="2">
        <f t="shared" si="10"/>
        <v>5</v>
      </c>
      <c r="K142" s="2">
        <v>75</v>
      </c>
      <c r="L142" s="2">
        <f t="shared" si="8"/>
        <v>90</v>
      </c>
      <c r="M142" s="8">
        <f t="shared" si="9"/>
        <v>5.5555555555555554</v>
      </c>
    </row>
    <row r="143" spans="1:13" x14ac:dyDescent="0.25">
      <c r="A143" s="13" t="s">
        <v>26</v>
      </c>
      <c r="B143" s="13" t="s">
        <v>353</v>
      </c>
      <c r="C143" s="2">
        <v>43</v>
      </c>
      <c r="D143" s="2">
        <v>36</v>
      </c>
      <c r="E143" s="7" t="s">
        <v>354</v>
      </c>
      <c r="F143" s="2" t="s">
        <v>214</v>
      </c>
      <c r="G143" s="2">
        <v>3</v>
      </c>
      <c r="H143" s="2">
        <v>7</v>
      </c>
      <c r="I143" s="2">
        <v>18</v>
      </c>
      <c r="J143" s="2">
        <f t="shared" si="10"/>
        <v>21</v>
      </c>
      <c r="K143" s="2">
        <v>110</v>
      </c>
      <c r="L143" s="2">
        <f t="shared" si="8"/>
        <v>138</v>
      </c>
      <c r="M143" s="8">
        <f t="shared" si="9"/>
        <v>15.217391304347828</v>
      </c>
    </row>
    <row r="144" spans="1:13" x14ac:dyDescent="0.25">
      <c r="A144" s="22" t="s">
        <v>288</v>
      </c>
      <c r="B144" s="22" t="s">
        <v>355</v>
      </c>
      <c r="C144" s="2">
        <v>43</v>
      </c>
      <c r="D144" s="2">
        <v>37</v>
      </c>
      <c r="E144" s="7" t="s">
        <v>356</v>
      </c>
      <c r="F144" s="2" t="s">
        <v>357</v>
      </c>
      <c r="G144" s="2">
        <v>3</v>
      </c>
      <c r="H144" s="2">
        <v>8</v>
      </c>
      <c r="I144" s="2">
        <v>32</v>
      </c>
      <c r="J144" s="2">
        <f t="shared" si="10"/>
        <v>35</v>
      </c>
      <c r="K144" s="2">
        <v>79</v>
      </c>
      <c r="L144" s="2">
        <f t="shared" si="8"/>
        <v>122</v>
      </c>
      <c r="M144" s="8">
        <f t="shared" si="9"/>
        <v>28.688524590163933</v>
      </c>
    </row>
    <row r="145" spans="1:13" x14ac:dyDescent="0.25">
      <c r="A145" s="21" t="s">
        <v>180</v>
      </c>
      <c r="B145" s="21" t="s">
        <v>358</v>
      </c>
      <c r="C145" s="2">
        <v>43</v>
      </c>
      <c r="D145" s="2">
        <v>38</v>
      </c>
      <c r="E145" s="7" t="s">
        <v>359</v>
      </c>
      <c r="F145" s="2" t="s">
        <v>202</v>
      </c>
      <c r="G145" s="2">
        <v>2</v>
      </c>
      <c r="H145" s="2">
        <v>3</v>
      </c>
      <c r="I145" s="2">
        <v>6</v>
      </c>
      <c r="J145" s="2">
        <f t="shared" si="10"/>
        <v>8</v>
      </c>
      <c r="K145" s="2">
        <v>142</v>
      </c>
      <c r="L145" s="2">
        <f t="shared" si="8"/>
        <v>153</v>
      </c>
      <c r="M145" s="8">
        <f t="shared" si="9"/>
        <v>5.2287581699346406</v>
      </c>
    </row>
    <row r="146" spans="1:13" x14ac:dyDescent="0.25">
      <c r="A146" s="21" t="s">
        <v>180</v>
      </c>
      <c r="B146" s="21" t="s">
        <v>360</v>
      </c>
      <c r="C146" s="2">
        <v>43</v>
      </c>
      <c r="D146" s="2">
        <v>39</v>
      </c>
      <c r="E146" s="7" t="s">
        <v>361</v>
      </c>
      <c r="F146" s="2" t="s">
        <v>217</v>
      </c>
      <c r="G146" s="2">
        <v>2</v>
      </c>
      <c r="H146" s="2">
        <v>4</v>
      </c>
      <c r="I146" s="2">
        <v>5</v>
      </c>
      <c r="J146" s="2">
        <f t="shared" si="10"/>
        <v>7</v>
      </c>
      <c r="K146" s="2">
        <v>96</v>
      </c>
      <c r="L146" s="2">
        <f t="shared" si="8"/>
        <v>107</v>
      </c>
      <c r="M146" s="8">
        <f t="shared" si="9"/>
        <v>6.5420560747663545</v>
      </c>
    </row>
    <row r="147" spans="1:13" x14ac:dyDescent="0.25">
      <c r="A147" s="22" t="s">
        <v>288</v>
      </c>
      <c r="B147" s="22" t="s">
        <v>362</v>
      </c>
      <c r="C147" s="2">
        <v>43</v>
      </c>
      <c r="D147" s="2">
        <v>40</v>
      </c>
      <c r="E147" s="7" t="s">
        <v>363</v>
      </c>
      <c r="F147" s="2" t="s">
        <v>364</v>
      </c>
      <c r="G147" s="2">
        <v>9</v>
      </c>
      <c r="H147" s="2">
        <v>7</v>
      </c>
      <c r="I147" s="2">
        <v>16</v>
      </c>
      <c r="J147" s="2">
        <f t="shared" si="10"/>
        <v>25</v>
      </c>
      <c r="K147" s="2">
        <v>133</v>
      </c>
      <c r="L147" s="2">
        <f t="shared" si="8"/>
        <v>165</v>
      </c>
      <c r="M147" s="8">
        <f t="shared" si="9"/>
        <v>15.151515151515152</v>
      </c>
    </row>
    <row r="148" spans="1:13" x14ac:dyDescent="0.25">
      <c r="A148" s="22" t="s">
        <v>288</v>
      </c>
      <c r="B148" s="22" t="s">
        <v>365</v>
      </c>
      <c r="C148" s="2">
        <v>43</v>
      </c>
      <c r="D148" s="2">
        <v>41</v>
      </c>
      <c r="E148" s="7" t="s">
        <v>366</v>
      </c>
      <c r="F148" s="2" t="s">
        <v>367</v>
      </c>
      <c r="G148" s="2">
        <v>1</v>
      </c>
      <c r="H148" s="2">
        <v>1</v>
      </c>
      <c r="I148" s="2">
        <v>6</v>
      </c>
      <c r="J148" s="2">
        <f t="shared" si="10"/>
        <v>7</v>
      </c>
      <c r="K148" s="2">
        <v>110</v>
      </c>
      <c r="L148" s="2">
        <f t="shared" si="8"/>
        <v>118</v>
      </c>
      <c r="M148" s="8">
        <f t="shared" si="9"/>
        <v>5.9322033898305087</v>
      </c>
    </row>
    <row r="149" spans="1:13" x14ac:dyDescent="0.25">
      <c r="A149" s="21" t="s">
        <v>180</v>
      </c>
      <c r="B149" s="21" t="s">
        <v>368</v>
      </c>
      <c r="C149" s="2">
        <v>43</v>
      </c>
      <c r="D149" s="2">
        <v>42</v>
      </c>
      <c r="E149" s="7" t="s">
        <v>369</v>
      </c>
      <c r="F149" s="2" t="s">
        <v>188</v>
      </c>
      <c r="G149" s="2">
        <v>4</v>
      </c>
      <c r="H149" s="2">
        <v>2</v>
      </c>
      <c r="I149" s="2">
        <v>3</v>
      </c>
      <c r="J149" s="2">
        <f t="shared" si="10"/>
        <v>7</v>
      </c>
      <c r="K149" s="2">
        <v>102</v>
      </c>
      <c r="L149" s="2">
        <f t="shared" si="8"/>
        <v>111</v>
      </c>
      <c r="M149" s="8">
        <f t="shared" si="9"/>
        <v>6.3063063063063058</v>
      </c>
    </row>
    <row r="150" spans="1:13" x14ac:dyDescent="0.25">
      <c r="A150" s="21" t="s">
        <v>180</v>
      </c>
      <c r="B150" s="21" t="s">
        <v>370</v>
      </c>
      <c r="C150" s="2">
        <v>43</v>
      </c>
      <c r="D150" s="2">
        <v>43</v>
      </c>
      <c r="E150" s="7" t="s">
        <v>371</v>
      </c>
      <c r="F150" s="2" t="s">
        <v>217</v>
      </c>
      <c r="G150" s="2">
        <v>1</v>
      </c>
      <c r="H150" s="2">
        <v>5</v>
      </c>
      <c r="I150" s="2">
        <v>8</v>
      </c>
      <c r="J150" s="2">
        <f t="shared" si="10"/>
        <v>9</v>
      </c>
      <c r="K150" s="2">
        <v>116</v>
      </c>
      <c r="L150" s="2">
        <f t="shared" si="8"/>
        <v>130</v>
      </c>
      <c r="M150" s="8">
        <f t="shared" si="9"/>
        <v>6.9230769230769234</v>
      </c>
    </row>
    <row r="151" spans="1:13" x14ac:dyDescent="0.25">
      <c r="A151" s="11" t="s">
        <v>19</v>
      </c>
      <c r="B151" s="12" t="s">
        <v>372</v>
      </c>
      <c r="C151" s="2">
        <v>43</v>
      </c>
      <c r="D151" s="2">
        <v>44</v>
      </c>
      <c r="E151" s="7" t="s">
        <v>373</v>
      </c>
      <c r="F151" s="2" t="s">
        <v>374</v>
      </c>
      <c r="G151" s="2">
        <v>8</v>
      </c>
      <c r="H151" s="2">
        <v>0</v>
      </c>
      <c r="I151" s="2">
        <v>6</v>
      </c>
      <c r="J151" s="2">
        <f t="shared" si="10"/>
        <v>14</v>
      </c>
      <c r="K151" s="2">
        <v>57</v>
      </c>
      <c r="L151" s="2">
        <f t="shared" si="8"/>
        <v>71</v>
      </c>
      <c r="M151" s="8">
        <f t="shared" si="9"/>
        <v>19.718309859154928</v>
      </c>
    </row>
    <row r="152" spans="1:13" x14ac:dyDescent="0.25">
      <c r="A152" s="9" t="s">
        <v>6</v>
      </c>
      <c r="B152" s="9" t="s">
        <v>375</v>
      </c>
      <c r="C152" s="2">
        <v>44</v>
      </c>
      <c r="D152" s="2">
        <v>1</v>
      </c>
      <c r="E152" s="7" t="s">
        <v>376</v>
      </c>
      <c r="F152" s="2" t="s">
        <v>12</v>
      </c>
      <c r="G152" s="2">
        <v>6</v>
      </c>
      <c r="H152" s="2">
        <v>8</v>
      </c>
      <c r="I152" s="2">
        <v>13</v>
      </c>
      <c r="J152" s="2">
        <f t="shared" si="10"/>
        <v>19</v>
      </c>
      <c r="K152" s="2">
        <v>82</v>
      </c>
      <c r="L152" s="2">
        <f t="shared" si="8"/>
        <v>109</v>
      </c>
      <c r="M152" s="8">
        <f t="shared" si="9"/>
        <v>17.431192660550458</v>
      </c>
    </row>
    <row r="153" spans="1:13" x14ac:dyDescent="0.25">
      <c r="A153" s="21" t="s">
        <v>180</v>
      </c>
      <c r="B153" s="21" t="s">
        <v>377</v>
      </c>
      <c r="C153" s="2">
        <v>44</v>
      </c>
      <c r="D153" s="2">
        <v>3</v>
      </c>
      <c r="E153" s="7" t="s">
        <v>378</v>
      </c>
      <c r="F153" s="2" t="s">
        <v>196</v>
      </c>
      <c r="G153" s="2">
        <v>1</v>
      </c>
      <c r="H153" s="2">
        <v>5</v>
      </c>
      <c r="I153" s="2">
        <v>3</v>
      </c>
      <c r="J153" s="2">
        <f t="shared" si="10"/>
        <v>4</v>
      </c>
      <c r="K153" s="2">
        <v>110</v>
      </c>
      <c r="L153" s="2">
        <f t="shared" si="8"/>
        <v>119</v>
      </c>
      <c r="M153" s="8">
        <f t="shared" si="9"/>
        <v>3.3613445378151261</v>
      </c>
    </row>
    <row r="154" spans="1:13" x14ac:dyDescent="0.25">
      <c r="A154" s="14" t="s">
        <v>33</v>
      </c>
      <c r="B154" s="15" t="s">
        <v>379</v>
      </c>
      <c r="C154" s="2">
        <v>44</v>
      </c>
      <c r="D154" s="2">
        <v>4</v>
      </c>
      <c r="E154" s="7" t="s">
        <v>380</v>
      </c>
      <c r="F154" s="2" t="s">
        <v>74</v>
      </c>
      <c r="G154" s="2">
        <v>4</v>
      </c>
      <c r="H154" s="2">
        <v>10</v>
      </c>
      <c r="I154" s="2">
        <v>9</v>
      </c>
      <c r="J154" s="2">
        <f t="shared" si="10"/>
        <v>13</v>
      </c>
      <c r="K154" s="2">
        <v>158</v>
      </c>
      <c r="L154" s="2">
        <f t="shared" si="8"/>
        <v>181</v>
      </c>
      <c r="M154" s="8">
        <f t="shared" si="9"/>
        <v>7.1823204419889501</v>
      </c>
    </row>
    <row r="155" spans="1:13" x14ac:dyDescent="0.25">
      <c r="A155" s="6" t="s">
        <v>3</v>
      </c>
      <c r="B155" s="6" t="s">
        <v>381</v>
      </c>
      <c r="C155" s="2">
        <v>44</v>
      </c>
      <c r="D155" s="2">
        <v>5</v>
      </c>
      <c r="E155" s="7" t="str">
        <f>C155&amp;"0"&amp;D155</f>
        <v>4405</v>
      </c>
      <c r="F155" s="2" t="s">
        <v>68</v>
      </c>
      <c r="G155" s="2">
        <v>8</v>
      </c>
      <c r="H155" s="2">
        <v>11</v>
      </c>
      <c r="I155" s="2">
        <v>6</v>
      </c>
      <c r="J155" s="2">
        <f t="shared" si="10"/>
        <v>14</v>
      </c>
      <c r="K155" s="2">
        <v>178</v>
      </c>
      <c r="L155" s="2">
        <f t="shared" si="8"/>
        <v>203</v>
      </c>
      <c r="M155" s="8">
        <f t="shared" si="9"/>
        <v>6.8965517241379306</v>
      </c>
    </row>
    <row r="156" spans="1:13" x14ac:dyDescent="0.25">
      <c r="A156" s="9" t="s">
        <v>6</v>
      </c>
      <c r="B156" s="9" t="s">
        <v>382</v>
      </c>
      <c r="C156" s="2">
        <v>44</v>
      </c>
      <c r="D156" s="2">
        <v>6</v>
      </c>
      <c r="E156" s="7" t="s">
        <v>383</v>
      </c>
      <c r="F156" s="2" t="s">
        <v>142</v>
      </c>
      <c r="G156" s="2">
        <v>4</v>
      </c>
      <c r="H156" s="2">
        <v>2</v>
      </c>
      <c r="I156" s="2">
        <v>22</v>
      </c>
      <c r="J156" s="2">
        <f t="shared" si="10"/>
        <v>26</v>
      </c>
      <c r="K156" s="2">
        <v>180</v>
      </c>
      <c r="L156" s="2">
        <f t="shared" si="8"/>
        <v>208</v>
      </c>
      <c r="M156" s="8">
        <f t="shared" si="9"/>
        <v>12.5</v>
      </c>
    </row>
    <row r="157" spans="1:13" x14ac:dyDescent="0.25">
      <c r="A157" s="16" t="s">
        <v>40</v>
      </c>
      <c r="B157" s="16" t="s">
        <v>384</v>
      </c>
      <c r="C157" s="2">
        <v>44</v>
      </c>
      <c r="D157" s="2">
        <v>7</v>
      </c>
      <c r="E157" s="7" t="s">
        <v>385</v>
      </c>
      <c r="F157" s="2" t="s">
        <v>118</v>
      </c>
      <c r="G157" s="2">
        <v>5</v>
      </c>
      <c r="H157" s="2">
        <v>15</v>
      </c>
      <c r="I157" s="2">
        <v>4</v>
      </c>
      <c r="J157" s="2">
        <f t="shared" si="10"/>
        <v>9</v>
      </c>
      <c r="K157" s="2">
        <v>239</v>
      </c>
      <c r="L157" s="2">
        <f t="shared" ref="L157:L188" si="11">H157+J157+K157</f>
        <v>263</v>
      </c>
      <c r="M157" s="8">
        <f t="shared" si="9"/>
        <v>3.4220532319391634</v>
      </c>
    </row>
    <row r="158" spans="1:13" x14ac:dyDescent="0.25">
      <c r="A158" s="14" t="s">
        <v>33</v>
      </c>
      <c r="B158" s="15" t="s">
        <v>386</v>
      </c>
      <c r="C158" s="2">
        <v>44</v>
      </c>
      <c r="D158" s="2">
        <v>8</v>
      </c>
      <c r="E158" s="7" t="s">
        <v>387</v>
      </c>
      <c r="F158" s="2" t="s">
        <v>126</v>
      </c>
      <c r="G158" s="2">
        <v>5</v>
      </c>
      <c r="H158" s="2">
        <v>10</v>
      </c>
      <c r="I158" s="2">
        <v>8</v>
      </c>
      <c r="J158" s="2">
        <f t="shared" si="10"/>
        <v>13</v>
      </c>
      <c r="K158" s="2">
        <v>98</v>
      </c>
      <c r="L158" s="2">
        <f t="shared" si="11"/>
        <v>121</v>
      </c>
      <c r="M158" s="8">
        <f t="shared" si="9"/>
        <v>10.743801652892563</v>
      </c>
    </row>
    <row r="159" spans="1:13" x14ac:dyDescent="0.25">
      <c r="A159" s="9" t="s">
        <v>6</v>
      </c>
      <c r="B159" s="9" t="s">
        <v>388</v>
      </c>
      <c r="C159" s="2">
        <v>44</v>
      </c>
      <c r="D159" s="2">
        <v>10</v>
      </c>
      <c r="E159" s="7" t="s">
        <v>389</v>
      </c>
      <c r="F159" s="2" t="s">
        <v>142</v>
      </c>
      <c r="G159" s="2">
        <v>4</v>
      </c>
      <c r="H159" s="2">
        <v>4</v>
      </c>
      <c r="I159" s="2">
        <v>7</v>
      </c>
      <c r="J159" s="2">
        <f t="shared" si="10"/>
        <v>11</v>
      </c>
      <c r="K159" s="2">
        <v>193</v>
      </c>
      <c r="L159" s="2">
        <f t="shared" si="11"/>
        <v>208</v>
      </c>
      <c r="M159" s="8">
        <f t="shared" si="9"/>
        <v>5.2884615384615383</v>
      </c>
    </row>
    <row r="160" spans="1:13" x14ac:dyDescent="0.25">
      <c r="A160" s="9" t="s">
        <v>6</v>
      </c>
      <c r="B160" s="9" t="s">
        <v>390</v>
      </c>
      <c r="C160" s="2">
        <v>44</v>
      </c>
      <c r="D160" s="2">
        <v>11</v>
      </c>
      <c r="E160" s="7" t="s">
        <v>391</v>
      </c>
      <c r="F160" s="2" t="s">
        <v>95</v>
      </c>
      <c r="G160" s="2">
        <v>0</v>
      </c>
      <c r="H160" s="2">
        <v>1</v>
      </c>
      <c r="I160" s="2">
        <v>2</v>
      </c>
      <c r="J160" s="2">
        <f t="shared" si="10"/>
        <v>2</v>
      </c>
      <c r="K160" s="2">
        <v>32</v>
      </c>
      <c r="L160" s="2">
        <f t="shared" si="11"/>
        <v>35</v>
      </c>
      <c r="M160" s="8">
        <f t="shared" si="9"/>
        <v>5.7142857142857144</v>
      </c>
    </row>
    <row r="161" spans="1:13" x14ac:dyDescent="0.25">
      <c r="A161" s="14" t="s">
        <v>33</v>
      </c>
      <c r="B161" s="15" t="s">
        <v>392</v>
      </c>
      <c r="C161" s="2">
        <v>44</v>
      </c>
      <c r="D161" s="2">
        <v>12</v>
      </c>
      <c r="E161" s="7" t="s">
        <v>393</v>
      </c>
      <c r="F161" s="2" t="s">
        <v>134</v>
      </c>
      <c r="G161" s="2">
        <v>3</v>
      </c>
      <c r="H161" s="2">
        <v>6</v>
      </c>
      <c r="I161" s="2">
        <v>2</v>
      </c>
      <c r="J161" s="2">
        <f t="shared" si="10"/>
        <v>5</v>
      </c>
      <c r="K161" s="2">
        <v>117</v>
      </c>
      <c r="L161" s="2">
        <f t="shared" si="11"/>
        <v>128</v>
      </c>
      <c r="M161" s="8">
        <f t="shared" si="9"/>
        <v>3.90625</v>
      </c>
    </row>
    <row r="162" spans="1:13" x14ac:dyDescent="0.25">
      <c r="A162" s="14" t="s">
        <v>33</v>
      </c>
      <c r="B162" s="15" t="s">
        <v>394</v>
      </c>
      <c r="C162" s="2">
        <v>44</v>
      </c>
      <c r="D162" s="2">
        <v>13</v>
      </c>
      <c r="E162" s="7" t="s">
        <v>395</v>
      </c>
      <c r="F162" s="2" t="s">
        <v>49</v>
      </c>
      <c r="G162" s="2">
        <v>4</v>
      </c>
      <c r="H162" s="2">
        <v>4</v>
      </c>
      <c r="I162" s="2">
        <v>4</v>
      </c>
      <c r="J162" s="2">
        <f t="shared" si="10"/>
        <v>8</v>
      </c>
      <c r="K162" s="2">
        <v>80</v>
      </c>
      <c r="L162" s="2">
        <f t="shared" si="11"/>
        <v>92</v>
      </c>
      <c r="M162" s="8">
        <f t="shared" si="9"/>
        <v>8.695652173913043</v>
      </c>
    </row>
    <row r="163" spans="1:13" x14ac:dyDescent="0.25">
      <c r="A163" s="6" t="s">
        <v>3</v>
      </c>
      <c r="B163" s="6" t="s">
        <v>396</v>
      </c>
      <c r="C163" s="2">
        <v>44</v>
      </c>
      <c r="D163" s="2">
        <v>14</v>
      </c>
      <c r="E163" s="7" t="str">
        <f>C163&amp;D163</f>
        <v>4414</v>
      </c>
      <c r="F163" s="2" t="s">
        <v>106</v>
      </c>
      <c r="G163" s="2">
        <v>8</v>
      </c>
      <c r="H163" s="2">
        <v>16</v>
      </c>
      <c r="I163" s="2">
        <v>11</v>
      </c>
      <c r="J163" s="2">
        <f t="shared" si="10"/>
        <v>19</v>
      </c>
      <c r="K163" s="2">
        <v>125</v>
      </c>
      <c r="L163" s="2">
        <f t="shared" si="11"/>
        <v>160</v>
      </c>
      <c r="M163" s="8">
        <f t="shared" si="9"/>
        <v>11.875</v>
      </c>
    </row>
    <row r="164" spans="1:13" x14ac:dyDescent="0.25">
      <c r="A164" s="16" t="s">
        <v>40</v>
      </c>
      <c r="B164" s="16" t="s">
        <v>397</v>
      </c>
      <c r="C164" s="2">
        <v>44</v>
      </c>
      <c r="D164" s="2">
        <v>15</v>
      </c>
      <c r="E164" s="7" t="s">
        <v>398</v>
      </c>
      <c r="F164" s="2" t="s">
        <v>158</v>
      </c>
      <c r="G164" s="2">
        <v>5</v>
      </c>
      <c r="H164" s="2">
        <v>9</v>
      </c>
      <c r="I164" s="2">
        <v>7</v>
      </c>
      <c r="J164" s="2">
        <f t="shared" si="10"/>
        <v>12</v>
      </c>
      <c r="K164" s="2">
        <v>183</v>
      </c>
      <c r="L164" s="2">
        <f t="shared" si="11"/>
        <v>204</v>
      </c>
      <c r="M164" s="8">
        <f t="shared" si="9"/>
        <v>5.8823529411764701</v>
      </c>
    </row>
    <row r="165" spans="1:13" x14ac:dyDescent="0.25">
      <c r="A165" s="10" t="s">
        <v>15</v>
      </c>
      <c r="B165" s="10" t="s">
        <v>399</v>
      </c>
      <c r="C165" s="2">
        <v>44</v>
      </c>
      <c r="D165" s="2">
        <v>16</v>
      </c>
      <c r="E165" s="7" t="s">
        <v>400</v>
      </c>
      <c r="F165" s="2" t="s">
        <v>112</v>
      </c>
      <c r="G165" s="2">
        <v>5</v>
      </c>
      <c r="H165" s="2">
        <v>8</v>
      </c>
      <c r="I165" s="2">
        <v>13</v>
      </c>
      <c r="J165" s="2">
        <f t="shared" si="10"/>
        <v>18</v>
      </c>
      <c r="K165" s="2">
        <v>319</v>
      </c>
      <c r="L165" s="2">
        <f t="shared" si="11"/>
        <v>345</v>
      </c>
      <c r="M165" s="8">
        <f t="shared" si="9"/>
        <v>5.2173913043478262</v>
      </c>
    </row>
    <row r="166" spans="1:13" x14ac:dyDescent="0.25">
      <c r="A166" s="6" t="s">
        <v>3</v>
      </c>
      <c r="B166" s="6" t="s">
        <v>401</v>
      </c>
      <c r="C166" s="2">
        <v>44</v>
      </c>
      <c r="D166" s="2">
        <v>17</v>
      </c>
      <c r="E166" s="7" t="str">
        <f>C166&amp;D166</f>
        <v>4417</v>
      </c>
      <c r="F166" s="2" t="s">
        <v>123</v>
      </c>
      <c r="G166" s="2">
        <v>2</v>
      </c>
      <c r="H166" s="2">
        <v>5</v>
      </c>
      <c r="I166" s="2">
        <v>6</v>
      </c>
      <c r="J166" s="2">
        <f t="shared" si="10"/>
        <v>8</v>
      </c>
      <c r="K166" s="2">
        <v>134</v>
      </c>
      <c r="L166" s="2">
        <f t="shared" si="11"/>
        <v>147</v>
      </c>
      <c r="M166" s="8">
        <f t="shared" si="9"/>
        <v>5.4421768707482991</v>
      </c>
    </row>
    <row r="167" spans="1:13" x14ac:dyDescent="0.25">
      <c r="A167" s="16" t="s">
        <v>40</v>
      </c>
      <c r="B167" s="16" t="s">
        <v>402</v>
      </c>
      <c r="C167" s="2">
        <v>44</v>
      </c>
      <c r="D167" s="2">
        <v>18</v>
      </c>
      <c r="E167" s="7" t="s">
        <v>403</v>
      </c>
      <c r="F167" s="2" t="s">
        <v>163</v>
      </c>
      <c r="G167" s="2">
        <v>5</v>
      </c>
      <c r="H167" s="2">
        <v>9</v>
      </c>
      <c r="I167" s="2">
        <v>9</v>
      </c>
      <c r="J167" s="2">
        <f t="shared" si="10"/>
        <v>14</v>
      </c>
      <c r="K167" s="2">
        <v>223</v>
      </c>
      <c r="L167" s="2">
        <f t="shared" si="11"/>
        <v>246</v>
      </c>
      <c r="M167" s="8">
        <f t="shared" si="9"/>
        <v>5.6910569105691051</v>
      </c>
    </row>
    <row r="168" spans="1:13" x14ac:dyDescent="0.25">
      <c r="A168" s="10" t="s">
        <v>15</v>
      </c>
      <c r="B168" s="10" t="s">
        <v>404</v>
      </c>
      <c r="C168" s="2">
        <v>44</v>
      </c>
      <c r="D168" s="2">
        <v>19</v>
      </c>
      <c r="E168" s="7" t="s">
        <v>405</v>
      </c>
      <c r="F168" s="2" t="s">
        <v>109</v>
      </c>
      <c r="G168" s="2">
        <v>6</v>
      </c>
      <c r="H168" s="2">
        <v>9</v>
      </c>
      <c r="I168" s="2">
        <v>10</v>
      </c>
      <c r="J168" s="2">
        <f t="shared" si="10"/>
        <v>16</v>
      </c>
      <c r="K168" s="2">
        <v>235</v>
      </c>
      <c r="L168" s="2">
        <f t="shared" si="11"/>
        <v>260</v>
      </c>
      <c r="M168" s="8">
        <f t="shared" si="9"/>
        <v>6.1538461538461542</v>
      </c>
    </row>
    <row r="169" spans="1:13" x14ac:dyDescent="0.25">
      <c r="A169" s="10" t="s">
        <v>15</v>
      </c>
      <c r="B169" s="10" t="s">
        <v>406</v>
      </c>
      <c r="C169" s="2">
        <v>44</v>
      </c>
      <c r="D169" s="2">
        <v>20</v>
      </c>
      <c r="E169" s="7" t="s">
        <v>407</v>
      </c>
      <c r="F169" s="2" t="s">
        <v>55</v>
      </c>
      <c r="G169" s="2">
        <v>7</v>
      </c>
      <c r="H169" s="2">
        <v>16</v>
      </c>
      <c r="I169" s="2">
        <v>12</v>
      </c>
      <c r="J169" s="2">
        <f t="shared" si="10"/>
        <v>19</v>
      </c>
      <c r="K169" s="2">
        <v>161</v>
      </c>
      <c r="L169" s="2">
        <f t="shared" si="11"/>
        <v>196</v>
      </c>
      <c r="M169" s="8">
        <f t="shared" si="9"/>
        <v>9.6938775510204085</v>
      </c>
    </row>
    <row r="170" spans="1:13" x14ac:dyDescent="0.25">
      <c r="A170" s="13" t="s">
        <v>26</v>
      </c>
      <c r="B170" s="13" t="s">
        <v>408</v>
      </c>
      <c r="C170" s="2">
        <v>44</v>
      </c>
      <c r="D170" s="2">
        <v>21</v>
      </c>
      <c r="E170" s="7" t="s">
        <v>409</v>
      </c>
      <c r="F170" s="2" t="s">
        <v>336</v>
      </c>
      <c r="G170" s="2">
        <v>6</v>
      </c>
      <c r="H170" s="2">
        <v>25</v>
      </c>
      <c r="I170" s="2">
        <v>5</v>
      </c>
      <c r="J170" s="2">
        <f t="shared" si="10"/>
        <v>11</v>
      </c>
      <c r="K170" s="2">
        <v>235</v>
      </c>
      <c r="L170" s="2">
        <f t="shared" si="11"/>
        <v>271</v>
      </c>
      <c r="M170" s="8">
        <f t="shared" si="9"/>
        <v>4.0590405904059041</v>
      </c>
    </row>
    <row r="171" spans="1:13" x14ac:dyDescent="0.25">
      <c r="A171" s="6" t="s">
        <v>3</v>
      </c>
      <c r="B171" s="6" t="s">
        <v>410</v>
      </c>
      <c r="C171" s="2">
        <v>44</v>
      </c>
      <c r="D171" s="2">
        <v>22</v>
      </c>
      <c r="E171" s="7" t="str">
        <f>C171&amp;D171</f>
        <v>4422</v>
      </c>
      <c r="F171" s="2" t="s">
        <v>176</v>
      </c>
      <c r="G171" s="2">
        <v>3</v>
      </c>
      <c r="H171" s="2">
        <v>11</v>
      </c>
      <c r="I171" s="2">
        <v>4</v>
      </c>
      <c r="J171" s="2">
        <f t="shared" si="10"/>
        <v>7</v>
      </c>
      <c r="K171" s="2">
        <v>58</v>
      </c>
      <c r="L171" s="2">
        <f t="shared" si="11"/>
        <v>76</v>
      </c>
      <c r="M171" s="8">
        <f t="shared" si="9"/>
        <v>9.2105263157894726</v>
      </c>
    </row>
    <row r="172" spans="1:13" x14ac:dyDescent="0.25">
      <c r="A172" s="22" t="s">
        <v>288</v>
      </c>
      <c r="B172" s="22" t="s">
        <v>411</v>
      </c>
      <c r="C172" s="2">
        <v>44</v>
      </c>
      <c r="D172" s="2">
        <v>23</v>
      </c>
      <c r="E172" s="7" t="s">
        <v>412</v>
      </c>
      <c r="F172" s="2" t="s">
        <v>413</v>
      </c>
      <c r="G172" s="2">
        <v>7</v>
      </c>
      <c r="H172" s="2">
        <v>12</v>
      </c>
      <c r="I172" s="2">
        <v>3</v>
      </c>
      <c r="J172" s="2">
        <f t="shared" si="10"/>
        <v>10</v>
      </c>
      <c r="K172" s="2">
        <v>175</v>
      </c>
      <c r="L172" s="2">
        <f t="shared" si="11"/>
        <v>197</v>
      </c>
      <c r="M172" s="8">
        <f t="shared" si="9"/>
        <v>5.0761421319796955</v>
      </c>
    </row>
    <row r="173" spans="1:13" x14ac:dyDescent="0.25">
      <c r="A173" s="13" t="s">
        <v>26</v>
      </c>
      <c r="B173" s="13" t="s">
        <v>414</v>
      </c>
      <c r="C173" s="2">
        <v>44</v>
      </c>
      <c r="D173" s="2">
        <v>24</v>
      </c>
      <c r="E173" s="7" t="s">
        <v>415</v>
      </c>
      <c r="F173" s="2" t="s">
        <v>131</v>
      </c>
      <c r="G173" s="2">
        <v>2</v>
      </c>
      <c r="H173" s="2">
        <v>5</v>
      </c>
      <c r="I173" s="2">
        <v>6</v>
      </c>
      <c r="J173" s="2">
        <f t="shared" si="10"/>
        <v>8</v>
      </c>
      <c r="K173" s="2">
        <v>125</v>
      </c>
      <c r="L173" s="2">
        <f t="shared" si="11"/>
        <v>138</v>
      </c>
      <c r="M173" s="8">
        <f t="shared" si="9"/>
        <v>5.7971014492753623</v>
      </c>
    </row>
    <row r="174" spans="1:13" x14ac:dyDescent="0.25">
      <c r="A174" s="10" t="s">
        <v>15</v>
      </c>
      <c r="B174" s="10" t="s">
        <v>416</v>
      </c>
      <c r="C174" s="2">
        <v>44</v>
      </c>
      <c r="D174" s="2">
        <v>25</v>
      </c>
      <c r="E174" s="7" t="s">
        <v>417</v>
      </c>
      <c r="F174" s="2" t="s">
        <v>32</v>
      </c>
      <c r="G174" s="2">
        <v>6</v>
      </c>
      <c r="H174" s="2">
        <v>11</v>
      </c>
      <c r="I174" s="2">
        <v>7</v>
      </c>
      <c r="J174" s="2">
        <f t="shared" si="10"/>
        <v>13</v>
      </c>
      <c r="K174" s="2">
        <v>189</v>
      </c>
      <c r="L174" s="2">
        <f t="shared" si="11"/>
        <v>213</v>
      </c>
      <c r="M174" s="8">
        <f t="shared" si="9"/>
        <v>6.103286384976526</v>
      </c>
    </row>
    <row r="175" spans="1:13" x14ac:dyDescent="0.25">
      <c r="A175" s="22" t="s">
        <v>288</v>
      </c>
      <c r="B175" s="22" t="s">
        <v>418</v>
      </c>
      <c r="C175" s="2">
        <v>44</v>
      </c>
      <c r="D175" s="2">
        <v>26</v>
      </c>
      <c r="E175" s="7" t="s">
        <v>419</v>
      </c>
      <c r="F175" s="2" t="s">
        <v>420</v>
      </c>
      <c r="G175" s="2">
        <v>2</v>
      </c>
      <c r="H175" s="2">
        <v>7</v>
      </c>
      <c r="I175" s="2">
        <v>4</v>
      </c>
      <c r="J175" s="2">
        <f t="shared" si="10"/>
        <v>6</v>
      </c>
      <c r="K175" s="2">
        <v>86</v>
      </c>
      <c r="L175" s="2">
        <f t="shared" si="11"/>
        <v>99</v>
      </c>
      <c r="M175" s="8">
        <f t="shared" si="9"/>
        <v>6.0606060606060606</v>
      </c>
    </row>
    <row r="176" spans="1:13" x14ac:dyDescent="0.25">
      <c r="A176" s="13" t="s">
        <v>26</v>
      </c>
      <c r="B176" s="13" t="s">
        <v>421</v>
      </c>
      <c r="C176" s="2">
        <v>44</v>
      </c>
      <c r="D176" s="2">
        <v>27</v>
      </c>
      <c r="E176" s="7" t="s">
        <v>422</v>
      </c>
      <c r="F176" s="2" t="s">
        <v>29</v>
      </c>
      <c r="G176" s="2">
        <v>0</v>
      </c>
      <c r="H176" s="2">
        <v>5</v>
      </c>
      <c r="I176" s="2">
        <v>3</v>
      </c>
      <c r="J176" s="2">
        <f t="shared" si="10"/>
        <v>3</v>
      </c>
      <c r="K176" s="2">
        <v>116</v>
      </c>
      <c r="L176" s="2">
        <f t="shared" si="11"/>
        <v>124</v>
      </c>
      <c r="M176" s="8">
        <f t="shared" si="9"/>
        <v>2.4193548387096775</v>
      </c>
    </row>
    <row r="177" spans="1:13" x14ac:dyDescent="0.25">
      <c r="A177" s="22" t="s">
        <v>288</v>
      </c>
      <c r="B177" s="22" t="s">
        <v>423</v>
      </c>
      <c r="C177" s="2">
        <v>44</v>
      </c>
      <c r="D177" s="2">
        <v>28</v>
      </c>
      <c r="E177" s="7" t="s">
        <v>424</v>
      </c>
      <c r="F177" s="2" t="s">
        <v>425</v>
      </c>
      <c r="G177" s="2">
        <v>1</v>
      </c>
      <c r="H177" s="2">
        <v>0</v>
      </c>
      <c r="I177" s="2">
        <v>5</v>
      </c>
      <c r="J177" s="2">
        <f t="shared" si="10"/>
        <v>6</v>
      </c>
      <c r="K177" s="2">
        <v>95</v>
      </c>
      <c r="L177" s="2">
        <f t="shared" si="11"/>
        <v>101</v>
      </c>
      <c r="M177" s="8">
        <f t="shared" si="9"/>
        <v>5.9405940594059405</v>
      </c>
    </row>
    <row r="178" spans="1:13" x14ac:dyDescent="0.25">
      <c r="A178" s="11" t="s">
        <v>19</v>
      </c>
      <c r="B178" s="12" t="s">
        <v>426</v>
      </c>
      <c r="C178" s="2">
        <v>44</v>
      </c>
      <c r="D178" s="2">
        <v>29</v>
      </c>
      <c r="E178" s="7" t="s">
        <v>427</v>
      </c>
      <c r="F178" s="2" t="s">
        <v>71</v>
      </c>
      <c r="G178" s="2">
        <v>0</v>
      </c>
      <c r="H178" s="2">
        <v>2</v>
      </c>
      <c r="I178" s="2">
        <v>6</v>
      </c>
      <c r="J178" s="2">
        <f t="shared" si="10"/>
        <v>6</v>
      </c>
      <c r="K178" s="2">
        <v>99</v>
      </c>
      <c r="L178" s="2">
        <f t="shared" si="11"/>
        <v>107</v>
      </c>
      <c r="M178" s="8">
        <f t="shared" si="9"/>
        <v>5.6074766355140184</v>
      </c>
    </row>
    <row r="179" spans="1:13" x14ac:dyDescent="0.25">
      <c r="A179" s="22" t="s">
        <v>288</v>
      </c>
      <c r="B179" s="22" t="s">
        <v>428</v>
      </c>
      <c r="C179" s="2">
        <v>44</v>
      </c>
      <c r="D179" s="2">
        <v>30</v>
      </c>
      <c r="E179" s="7" t="s">
        <v>429</v>
      </c>
      <c r="F179" s="2" t="s">
        <v>430</v>
      </c>
      <c r="G179" s="2">
        <v>1</v>
      </c>
      <c r="H179" s="2">
        <v>9</v>
      </c>
      <c r="I179" s="2">
        <v>3</v>
      </c>
      <c r="J179" s="2">
        <f t="shared" si="10"/>
        <v>4</v>
      </c>
      <c r="K179" s="2">
        <v>116</v>
      </c>
      <c r="L179" s="2">
        <f t="shared" si="11"/>
        <v>129</v>
      </c>
      <c r="M179" s="8">
        <f t="shared" si="9"/>
        <v>3.1007751937984498</v>
      </c>
    </row>
    <row r="180" spans="1:13" x14ac:dyDescent="0.25">
      <c r="A180" s="22" t="s">
        <v>288</v>
      </c>
      <c r="B180" s="22" t="s">
        <v>431</v>
      </c>
      <c r="C180" s="2">
        <v>44</v>
      </c>
      <c r="D180" s="2">
        <v>31</v>
      </c>
      <c r="E180" s="7" t="s">
        <v>432</v>
      </c>
      <c r="F180" s="2" t="s">
        <v>433</v>
      </c>
      <c r="G180" s="2">
        <v>3</v>
      </c>
      <c r="H180" s="2">
        <v>10</v>
      </c>
      <c r="I180" s="2">
        <v>5</v>
      </c>
      <c r="J180" s="2">
        <f t="shared" si="10"/>
        <v>8</v>
      </c>
      <c r="K180" s="2">
        <v>125</v>
      </c>
      <c r="L180" s="2">
        <f t="shared" si="11"/>
        <v>143</v>
      </c>
      <c r="M180" s="8">
        <f t="shared" si="9"/>
        <v>5.5944055944055942</v>
      </c>
    </row>
    <row r="181" spans="1:13" x14ac:dyDescent="0.25">
      <c r="A181" s="22" t="s">
        <v>288</v>
      </c>
      <c r="B181" s="22" t="s">
        <v>434</v>
      </c>
      <c r="C181" s="2">
        <v>44</v>
      </c>
      <c r="D181" s="2">
        <v>32</v>
      </c>
      <c r="E181" s="7" t="s">
        <v>435</v>
      </c>
      <c r="F181" s="2" t="s">
        <v>430</v>
      </c>
      <c r="G181" s="2">
        <v>8</v>
      </c>
      <c r="H181" s="2">
        <v>6</v>
      </c>
      <c r="I181" s="2">
        <v>2</v>
      </c>
      <c r="J181" s="2">
        <f t="shared" si="10"/>
        <v>10</v>
      </c>
      <c r="K181" s="2">
        <v>84</v>
      </c>
      <c r="L181" s="2">
        <f t="shared" si="11"/>
        <v>100</v>
      </c>
      <c r="M181" s="8">
        <f t="shared" si="9"/>
        <v>10</v>
      </c>
    </row>
    <row r="182" spans="1:13" x14ac:dyDescent="0.25">
      <c r="A182" s="11" t="s">
        <v>19</v>
      </c>
      <c r="B182" s="12" t="s">
        <v>436</v>
      </c>
      <c r="C182" s="2">
        <v>44</v>
      </c>
      <c r="D182" s="2">
        <v>33</v>
      </c>
      <c r="E182" s="7" t="s">
        <v>437</v>
      </c>
      <c r="F182" s="2" t="s">
        <v>269</v>
      </c>
      <c r="G182" s="2">
        <v>0</v>
      </c>
      <c r="H182" s="2">
        <v>5</v>
      </c>
      <c r="I182" s="2">
        <v>7</v>
      </c>
      <c r="J182" s="2">
        <f t="shared" si="10"/>
        <v>7</v>
      </c>
      <c r="K182" s="2">
        <v>135</v>
      </c>
      <c r="L182" s="2">
        <f t="shared" si="11"/>
        <v>147</v>
      </c>
      <c r="M182" s="8">
        <f t="shared" si="9"/>
        <v>4.7619047619047619</v>
      </c>
    </row>
    <row r="183" spans="1:13" x14ac:dyDescent="0.25">
      <c r="A183" s="13" t="s">
        <v>26</v>
      </c>
      <c r="B183" s="13" t="s">
        <v>438</v>
      </c>
      <c r="C183" s="2">
        <v>44</v>
      </c>
      <c r="D183" s="2">
        <v>34</v>
      </c>
      <c r="E183" s="7" t="s">
        <v>439</v>
      </c>
      <c r="F183" s="2" t="s">
        <v>121</v>
      </c>
      <c r="G183" s="2">
        <v>5</v>
      </c>
      <c r="H183" s="2">
        <v>4</v>
      </c>
      <c r="I183" s="2">
        <v>4</v>
      </c>
      <c r="J183" s="2">
        <f t="shared" si="10"/>
        <v>9</v>
      </c>
      <c r="K183" s="2">
        <v>138</v>
      </c>
      <c r="L183" s="2">
        <f t="shared" si="11"/>
        <v>151</v>
      </c>
      <c r="M183" s="8">
        <f t="shared" si="9"/>
        <v>5.9602649006622519</v>
      </c>
    </row>
    <row r="184" spans="1:13" x14ac:dyDescent="0.25">
      <c r="A184" s="22" t="s">
        <v>288</v>
      </c>
      <c r="B184" s="22" t="s">
        <v>440</v>
      </c>
      <c r="C184" s="2">
        <v>44</v>
      </c>
      <c r="D184" s="2">
        <v>35</v>
      </c>
      <c r="E184" s="7" t="s">
        <v>441</v>
      </c>
      <c r="F184" s="2" t="s">
        <v>433</v>
      </c>
      <c r="G184" s="2">
        <v>1</v>
      </c>
      <c r="H184" s="2">
        <v>5</v>
      </c>
      <c r="I184" s="2">
        <v>4</v>
      </c>
      <c r="J184" s="2">
        <f t="shared" si="10"/>
        <v>5</v>
      </c>
      <c r="K184" s="2">
        <v>42</v>
      </c>
      <c r="L184" s="2">
        <f t="shared" si="11"/>
        <v>52</v>
      </c>
      <c r="M184" s="8">
        <f t="shared" si="9"/>
        <v>9.6153846153846168</v>
      </c>
    </row>
    <row r="185" spans="1:13" x14ac:dyDescent="0.25">
      <c r="A185" s="6" t="s">
        <v>3</v>
      </c>
      <c r="B185" s="6" t="s">
        <v>442</v>
      </c>
      <c r="C185" s="2">
        <v>44</v>
      </c>
      <c r="D185" s="2">
        <v>37</v>
      </c>
      <c r="E185" s="7" t="str">
        <f>C185&amp;D185</f>
        <v>4437</v>
      </c>
      <c r="F185" s="2" t="s">
        <v>14</v>
      </c>
      <c r="G185" s="2">
        <v>3</v>
      </c>
      <c r="H185" s="2">
        <v>8</v>
      </c>
      <c r="I185" s="2">
        <v>5</v>
      </c>
      <c r="J185" s="2">
        <f t="shared" si="10"/>
        <v>8</v>
      </c>
      <c r="K185" s="2">
        <v>146</v>
      </c>
      <c r="L185" s="2">
        <f t="shared" si="11"/>
        <v>162</v>
      </c>
      <c r="M185" s="8">
        <f t="shared" si="9"/>
        <v>4.9382716049382713</v>
      </c>
    </row>
    <row r="186" spans="1:13" x14ac:dyDescent="0.25">
      <c r="A186" s="22" t="s">
        <v>288</v>
      </c>
      <c r="B186" s="22" t="s">
        <v>443</v>
      </c>
      <c r="C186" s="2">
        <v>44</v>
      </c>
      <c r="D186" s="2">
        <v>38</v>
      </c>
      <c r="E186" s="7" t="s">
        <v>444</v>
      </c>
      <c r="F186" s="2" t="s">
        <v>291</v>
      </c>
      <c r="G186" s="2">
        <v>1</v>
      </c>
      <c r="H186" s="2">
        <v>4</v>
      </c>
      <c r="I186" s="2">
        <v>4</v>
      </c>
      <c r="J186" s="2">
        <f t="shared" si="10"/>
        <v>5</v>
      </c>
      <c r="K186" s="2">
        <v>48</v>
      </c>
      <c r="L186" s="2">
        <f t="shared" si="11"/>
        <v>57</v>
      </c>
      <c r="M186" s="8">
        <f t="shared" si="9"/>
        <v>8.7719298245614024</v>
      </c>
    </row>
    <row r="187" spans="1:13" x14ac:dyDescent="0.25">
      <c r="A187" s="13" t="s">
        <v>26</v>
      </c>
      <c r="B187" s="13" t="s">
        <v>445</v>
      </c>
      <c r="C187" s="2">
        <v>44</v>
      </c>
      <c r="D187" s="2">
        <v>39</v>
      </c>
      <c r="E187" s="7" t="s">
        <v>446</v>
      </c>
      <c r="F187" s="2" t="s">
        <v>61</v>
      </c>
      <c r="G187" s="2">
        <v>1</v>
      </c>
      <c r="H187" s="2">
        <v>6</v>
      </c>
      <c r="I187" s="2">
        <v>2</v>
      </c>
      <c r="J187" s="2">
        <f t="shared" si="10"/>
        <v>3</v>
      </c>
      <c r="K187" s="2">
        <v>45</v>
      </c>
      <c r="L187" s="2">
        <f t="shared" si="11"/>
        <v>54</v>
      </c>
      <c r="M187" s="8">
        <f t="shared" si="9"/>
        <v>5.5555555555555554</v>
      </c>
    </row>
    <row r="188" spans="1:13" x14ac:dyDescent="0.25">
      <c r="A188" s="22" t="s">
        <v>288</v>
      </c>
      <c r="B188" s="22" t="s">
        <v>447</v>
      </c>
      <c r="C188" s="2">
        <v>44</v>
      </c>
      <c r="D188" s="2">
        <v>40</v>
      </c>
      <c r="E188" s="7" t="s">
        <v>448</v>
      </c>
      <c r="F188" s="2" t="s">
        <v>420</v>
      </c>
      <c r="G188" s="2">
        <v>0</v>
      </c>
      <c r="H188" s="2">
        <v>8</v>
      </c>
      <c r="I188" s="2">
        <v>4</v>
      </c>
      <c r="J188" s="2">
        <f t="shared" si="10"/>
        <v>4</v>
      </c>
      <c r="K188" s="2">
        <v>126</v>
      </c>
      <c r="L188" s="2">
        <f t="shared" si="11"/>
        <v>138</v>
      </c>
      <c r="M188" s="8">
        <f t="shared" si="9"/>
        <v>2.8985507246376812</v>
      </c>
    </row>
    <row r="189" spans="1:13" x14ac:dyDescent="0.25">
      <c r="A189" s="22" t="s">
        <v>288</v>
      </c>
      <c r="B189" s="22" t="s">
        <v>449</v>
      </c>
      <c r="C189" s="2">
        <v>44</v>
      </c>
      <c r="D189" s="2">
        <v>41</v>
      </c>
      <c r="E189" s="7" t="s">
        <v>450</v>
      </c>
      <c r="F189" s="2" t="s">
        <v>367</v>
      </c>
      <c r="G189" s="2">
        <v>3</v>
      </c>
      <c r="H189" s="2">
        <v>16</v>
      </c>
      <c r="I189" s="2">
        <v>8</v>
      </c>
      <c r="J189" s="2">
        <f t="shared" si="10"/>
        <v>11</v>
      </c>
      <c r="K189" s="2">
        <v>159</v>
      </c>
      <c r="L189" s="2">
        <f t="shared" ref="L189:L220" si="12">H189+J189+K189</f>
        <v>186</v>
      </c>
      <c r="M189" s="8">
        <f t="shared" ref="M189:M252" si="13">J189/L189*100</f>
        <v>5.913978494623656</v>
      </c>
    </row>
    <row r="190" spans="1:13" x14ac:dyDescent="0.25">
      <c r="A190" s="21" t="s">
        <v>180</v>
      </c>
      <c r="B190" s="21" t="s">
        <v>451</v>
      </c>
      <c r="C190" s="2">
        <v>44</v>
      </c>
      <c r="D190" s="2">
        <v>42</v>
      </c>
      <c r="E190" s="7" t="s">
        <v>452</v>
      </c>
      <c r="F190" s="2" t="s">
        <v>191</v>
      </c>
      <c r="G190" s="2">
        <v>3</v>
      </c>
      <c r="H190" s="2">
        <v>8</v>
      </c>
      <c r="I190" s="2">
        <v>2</v>
      </c>
      <c r="J190" s="2">
        <f t="shared" si="10"/>
        <v>5</v>
      </c>
      <c r="K190" s="2">
        <v>170</v>
      </c>
      <c r="L190" s="2">
        <f t="shared" si="12"/>
        <v>183</v>
      </c>
      <c r="M190" s="8">
        <f t="shared" si="13"/>
        <v>2.7322404371584699</v>
      </c>
    </row>
    <row r="191" spans="1:13" x14ac:dyDescent="0.25">
      <c r="A191" s="11" t="s">
        <v>19</v>
      </c>
      <c r="B191" s="12" t="s">
        <v>453</v>
      </c>
      <c r="C191" s="2">
        <v>44</v>
      </c>
      <c r="D191" s="2">
        <v>43</v>
      </c>
      <c r="E191" s="7" t="s">
        <v>454</v>
      </c>
      <c r="F191" s="2" t="s">
        <v>333</v>
      </c>
      <c r="G191" s="2">
        <v>3</v>
      </c>
      <c r="H191" s="2">
        <v>5</v>
      </c>
      <c r="I191" s="2">
        <v>5</v>
      </c>
      <c r="J191" s="2">
        <f t="shared" si="10"/>
        <v>8</v>
      </c>
      <c r="K191" s="2">
        <v>117</v>
      </c>
      <c r="L191" s="2">
        <f t="shared" si="12"/>
        <v>130</v>
      </c>
      <c r="M191" s="8">
        <f t="shared" si="13"/>
        <v>6.1538461538461542</v>
      </c>
    </row>
    <row r="192" spans="1:13" x14ac:dyDescent="0.25">
      <c r="A192" s="9" t="s">
        <v>6</v>
      </c>
      <c r="B192" s="9" t="s">
        <v>455</v>
      </c>
      <c r="C192" s="2">
        <v>45</v>
      </c>
      <c r="D192" s="2">
        <v>1</v>
      </c>
      <c r="E192" s="7" t="s">
        <v>456</v>
      </c>
      <c r="F192" s="2" t="s">
        <v>205</v>
      </c>
      <c r="G192" s="2">
        <v>7</v>
      </c>
      <c r="H192" s="2">
        <v>21</v>
      </c>
      <c r="I192" s="2">
        <v>7</v>
      </c>
      <c r="J192" s="2">
        <f t="shared" si="10"/>
        <v>14</v>
      </c>
      <c r="K192" s="2">
        <v>54</v>
      </c>
      <c r="L192" s="2">
        <f t="shared" si="12"/>
        <v>89</v>
      </c>
      <c r="M192" s="8">
        <f t="shared" si="13"/>
        <v>15.730337078651685</v>
      </c>
    </row>
    <row r="193" spans="1:13" x14ac:dyDescent="0.25">
      <c r="A193" s="21" t="s">
        <v>180</v>
      </c>
      <c r="B193" s="21" t="s">
        <v>457</v>
      </c>
      <c r="C193" s="2">
        <v>45</v>
      </c>
      <c r="D193" s="2">
        <v>2</v>
      </c>
      <c r="E193" s="7" t="s">
        <v>458</v>
      </c>
      <c r="F193" s="2" t="s">
        <v>183</v>
      </c>
      <c r="G193" s="2">
        <v>2</v>
      </c>
      <c r="H193" s="2">
        <v>2</v>
      </c>
      <c r="I193" s="2">
        <v>1</v>
      </c>
      <c r="J193" s="2">
        <f t="shared" si="10"/>
        <v>3</v>
      </c>
      <c r="K193" s="2">
        <v>58</v>
      </c>
      <c r="L193" s="2">
        <f t="shared" si="12"/>
        <v>63</v>
      </c>
      <c r="M193" s="8">
        <f t="shared" si="13"/>
        <v>4.7619047619047619</v>
      </c>
    </row>
    <row r="194" spans="1:13" x14ac:dyDescent="0.25">
      <c r="A194" s="6" t="s">
        <v>3</v>
      </c>
      <c r="B194" s="6" t="s">
        <v>459</v>
      </c>
      <c r="C194" s="2">
        <v>45</v>
      </c>
      <c r="D194" s="2">
        <v>4</v>
      </c>
      <c r="E194" s="7" t="str">
        <f>C194&amp;"0"&amp;D194</f>
        <v>4504</v>
      </c>
      <c r="F194" s="2" t="s">
        <v>152</v>
      </c>
      <c r="G194" s="2">
        <v>4</v>
      </c>
      <c r="H194" s="2">
        <v>26</v>
      </c>
      <c r="I194" s="2">
        <v>4</v>
      </c>
      <c r="J194" s="2">
        <f t="shared" ref="J194:J257" si="14">G194+I194</f>
        <v>8</v>
      </c>
      <c r="K194" s="2">
        <v>155</v>
      </c>
      <c r="L194" s="2">
        <f t="shared" si="12"/>
        <v>189</v>
      </c>
      <c r="M194" s="8">
        <f t="shared" si="13"/>
        <v>4.2328042328042326</v>
      </c>
    </row>
    <row r="195" spans="1:13" x14ac:dyDescent="0.25">
      <c r="A195" s="10" t="s">
        <v>15</v>
      </c>
      <c r="B195" s="10" t="s">
        <v>460</v>
      </c>
      <c r="C195" s="2">
        <v>45</v>
      </c>
      <c r="D195" s="2">
        <v>5</v>
      </c>
      <c r="E195" s="7" t="s">
        <v>461</v>
      </c>
      <c r="F195" s="2" t="s">
        <v>18</v>
      </c>
      <c r="G195" s="2">
        <v>3</v>
      </c>
      <c r="H195" s="2">
        <v>10</v>
      </c>
      <c r="I195" s="2">
        <v>7</v>
      </c>
      <c r="J195" s="2">
        <f t="shared" si="14"/>
        <v>10</v>
      </c>
      <c r="K195" s="2">
        <v>130</v>
      </c>
      <c r="L195" s="2">
        <f t="shared" si="12"/>
        <v>150</v>
      </c>
      <c r="M195" s="8">
        <f t="shared" si="13"/>
        <v>6.666666666666667</v>
      </c>
    </row>
    <row r="196" spans="1:13" x14ac:dyDescent="0.25">
      <c r="A196" s="9" t="s">
        <v>6</v>
      </c>
      <c r="B196" s="9" t="s">
        <v>462</v>
      </c>
      <c r="C196" s="2">
        <v>45</v>
      </c>
      <c r="D196" s="2">
        <v>6</v>
      </c>
      <c r="E196" s="7" t="s">
        <v>463</v>
      </c>
      <c r="F196" s="2" t="s">
        <v>199</v>
      </c>
      <c r="G196" s="2">
        <v>4</v>
      </c>
      <c r="H196" s="2">
        <v>2</v>
      </c>
      <c r="I196" s="2">
        <v>14</v>
      </c>
      <c r="J196" s="2">
        <f t="shared" si="14"/>
        <v>18</v>
      </c>
      <c r="K196" s="2">
        <v>90</v>
      </c>
      <c r="L196" s="2">
        <f t="shared" si="12"/>
        <v>110</v>
      </c>
      <c r="M196" s="8">
        <f t="shared" si="13"/>
        <v>16.363636363636363</v>
      </c>
    </row>
    <row r="197" spans="1:13" x14ac:dyDescent="0.25">
      <c r="A197" s="22" t="s">
        <v>288</v>
      </c>
      <c r="B197" s="22" t="s">
        <v>464</v>
      </c>
      <c r="C197" s="2">
        <v>45</v>
      </c>
      <c r="D197" s="2">
        <v>7</v>
      </c>
      <c r="E197" s="7" t="s">
        <v>465</v>
      </c>
      <c r="F197" s="2" t="s">
        <v>357</v>
      </c>
      <c r="G197" s="2">
        <v>1</v>
      </c>
      <c r="H197" s="2">
        <v>5</v>
      </c>
      <c r="I197" s="2">
        <v>5</v>
      </c>
      <c r="J197" s="2">
        <f t="shared" si="14"/>
        <v>6</v>
      </c>
      <c r="K197" s="2">
        <v>96</v>
      </c>
      <c r="L197" s="2">
        <f t="shared" si="12"/>
        <v>107</v>
      </c>
      <c r="M197" s="8">
        <f t="shared" si="13"/>
        <v>5.6074766355140184</v>
      </c>
    </row>
    <row r="198" spans="1:13" x14ac:dyDescent="0.25">
      <c r="A198" s="14" t="s">
        <v>33</v>
      </c>
      <c r="B198" s="15" t="s">
        <v>466</v>
      </c>
      <c r="C198" s="2">
        <v>45</v>
      </c>
      <c r="D198" s="2">
        <v>8</v>
      </c>
      <c r="E198" s="7" t="s">
        <v>467</v>
      </c>
      <c r="F198" s="2" t="s">
        <v>86</v>
      </c>
      <c r="G198" s="2">
        <v>0</v>
      </c>
      <c r="H198" s="2">
        <v>6</v>
      </c>
      <c r="I198" s="2">
        <v>2</v>
      </c>
      <c r="J198" s="2">
        <f t="shared" si="14"/>
        <v>2</v>
      </c>
      <c r="K198" s="2">
        <v>109</v>
      </c>
      <c r="L198" s="2">
        <f t="shared" si="12"/>
        <v>117</v>
      </c>
      <c r="M198" s="8">
        <f t="shared" si="13"/>
        <v>1.7094017094017095</v>
      </c>
    </row>
    <row r="199" spans="1:13" x14ac:dyDescent="0.25">
      <c r="A199" s="14" t="s">
        <v>33</v>
      </c>
      <c r="B199" s="15" t="s">
        <v>468</v>
      </c>
      <c r="C199" s="2">
        <v>45</v>
      </c>
      <c r="D199" s="2">
        <v>9</v>
      </c>
      <c r="E199" s="7" t="s">
        <v>469</v>
      </c>
      <c r="F199" s="2" t="s">
        <v>39</v>
      </c>
      <c r="G199" s="2">
        <v>1</v>
      </c>
      <c r="H199" s="2">
        <v>15</v>
      </c>
      <c r="I199" s="2">
        <v>4</v>
      </c>
      <c r="J199" s="2">
        <f t="shared" si="14"/>
        <v>5</v>
      </c>
      <c r="K199" s="2">
        <v>96</v>
      </c>
      <c r="L199" s="2">
        <f t="shared" si="12"/>
        <v>116</v>
      </c>
      <c r="M199" s="8">
        <f t="shared" si="13"/>
        <v>4.3103448275862073</v>
      </c>
    </row>
    <row r="200" spans="1:13" x14ac:dyDescent="0.25">
      <c r="A200" s="9" t="s">
        <v>6</v>
      </c>
      <c r="B200" s="9" t="s">
        <v>470</v>
      </c>
      <c r="C200" s="2">
        <v>45</v>
      </c>
      <c r="D200" s="2">
        <v>10</v>
      </c>
      <c r="E200" s="7" t="s">
        <v>471</v>
      </c>
      <c r="F200" s="2" t="s">
        <v>115</v>
      </c>
      <c r="G200" s="2">
        <v>1</v>
      </c>
      <c r="H200" s="2">
        <v>3</v>
      </c>
      <c r="I200" s="2">
        <v>3</v>
      </c>
      <c r="J200" s="2">
        <f t="shared" si="14"/>
        <v>4</v>
      </c>
      <c r="K200" s="2">
        <v>140</v>
      </c>
      <c r="L200" s="2">
        <f t="shared" si="12"/>
        <v>147</v>
      </c>
      <c r="M200" s="8">
        <f t="shared" si="13"/>
        <v>2.7210884353741496</v>
      </c>
    </row>
    <row r="201" spans="1:13" x14ac:dyDescent="0.25">
      <c r="A201" s="14" t="s">
        <v>33</v>
      </c>
      <c r="B201" s="15" t="s">
        <v>472</v>
      </c>
      <c r="C201" s="2">
        <v>45</v>
      </c>
      <c r="D201" s="2">
        <v>11</v>
      </c>
      <c r="E201" s="7" t="s">
        <v>473</v>
      </c>
      <c r="F201" s="2" t="s">
        <v>77</v>
      </c>
      <c r="G201" s="2">
        <v>0</v>
      </c>
      <c r="H201" s="2">
        <v>0</v>
      </c>
      <c r="I201" s="2">
        <v>3</v>
      </c>
      <c r="J201" s="2">
        <f t="shared" si="14"/>
        <v>3</v>
      </c>
      <c r="K201" s="2">
        <v>132</v>
      </c>
      <c r="L201" s="2">
        <f t="shared" si="12"/>
        <v>135</v>
      </c>
      <c r="M201" s="8">
        <f t="shared" si="13"/>
        <v>2.2222222222222223</v>
      </c>
    </row>
    <row r="202" spans="1:13" x14ac:dyDescent="0.25">
      <c r="A202" s="6" t="s">
        <v>3</v>
      </c>
      <c r="B202" s="6" t="s">
        <v>474</v>
      </c>
      <c r="C202" s="2">
        <v>45</v>
      </c>
      <c r="D202" s="2">
        <v>12</v>
      </c>
      <c r="E202" s="7" t="str">
        <f>C202&amp;D202</f>
        <v>4512</v>
      </c>
      <c r="F202" s="2" t="s">
        <v>193</v>
      </c>
      <c r="G202" s="2">
        <v>5</v>
      </c>
      <c r="H202" s="2">
        <v>8</v>
      </c>
      <c r="I202" s="2">
        <v>5</v>
      </c>
      <c r="J202" s="2">
        <f t="shared" si="14"/>
        <v>10</v>
      </c>
      <c r="K202" s="2">
        <v>212</v>
      </c>
      <c r="L202" s="2">
        <f t="shared" si="12"/>
        <v>230</v>
      </c>
      <c r="M202" s="8">
        <f t="shared" si="13"/>
        <v>4.3478260869565215</v>
      </c>
    </row>
    <row r="203" spans="1:13" x14ac:dyDescent="0.25">
      <c r="A203" s="10" t="s">
        <v>15</v>
      </c>
      <c r="B203" s="10" t="s">
        <v>475</v>
      </c>
      <c r="C203" s="2">
        <v>45</v>
      </c>
      <c r="D203" s="2">
        <v>13</v>
      </c>
      <c r="E203" s="7" t="s">
        <v>476</v>
      </c>
      <c r="F203" s="2" t="s">
        <v>52</v>
      </c>
      <c r="G203" s="2">
        <v>7</v>
      </c>
      <c r="H203" s="2">
        <v>15</v>
      </c>
      <c r="I203" s="2">
        <v>6</v>
      </c>
      <c r="J203" s="2">
        <f t="shared" si="14"/>
        <v>13</v>
      </c>
      <c r="K203" s="2">
        <v>134</v>
      </c>
      <c r="L203" s="2">
        <f t="shared" si="12"/>
        <v>162</v>
      </c>
      <c r="M203" s="8">
        <f t="shared" si="13"/>
        <v>8.0246913580246915</v>
      </c>
    </row>
    <row r="204" spans="1:13" x14ac:dyDescent="0.25">
      <c r="A204" s="11" t="s">
        <v>19</v>
      </c>
      <c r="B204" s="12" t="s">
        <v>477</v>
      </c>
      <c r="C204" s="2">
        <v>45</v>
      </c>
      <c r="D204" s="2">
        <v>14</v>
      </c>
      <c r="E204" s="7" t="s">
        <v>478</v>
      </c>
      <c r="F204" s="2" t="s">
        <v>330</v>
      </c>
      <c r="G204" s="2">
        <v>3</v>
      </c>
      <c r="H204" s="2">
        <v>12</v>
      </c>
      <c r="I204" s="2">
        <v>5</v>
      </c>
      <c r="J204" s="2">
        <f t="shared" si="14"/>
        <v>8</v>
      </c>
      <c r="K204" s="2">
        <v>145</v>
      </c>
      <c r="L204" s="2">
        <f t="shared" si="12"/>
        <v>165</v>
      </c>
      <c r="M204" s="8">
        <f t="shared" si="13"/>
        <v>4.8484848484848486</v>
      </c>
    </row>
    <row r="205" spans="1:13" x14ac:dyDescent="0.25">
      <c r="A205" s="22" t="s">
        <v>288</v>
      </c>
      <c r="B205" s="22" t="s">
        <v>479</v>
      </c>
      <c r="C205" s="2">
        <v>45</v>
      </c>
      <c r="D205" s="2">
        <v>15</v>
      </c>
      <c r="E205" s="7" t="s">
        <v>480</v>
      </c>
      <c r="F205" s="2" t="s">
        <v>425</v>
      </c>
      <c r="G205" s="2">
        <v>7</v>
      </c>
      <c r="H205" s="2">
        <v>16</v>
      </c>
      <c r="I205" s="2">
        <v>11</v>
      </c>
      <c r="J205" s="2">
        <f t="shared" si="14"/>
        <v>18</v>
      </c>
      <c r="K205" s="2">
        <v>141</v>
      </c>
      <c r="L205" s="2">
        <f t="shared" si="12"/>
        <v>175</v>
      </c>
      <c r="M205" s="8">
        <f t="shared" si="13"/>
        <v>10.285714285714285</v>
      </c>
    </row>
    <row r="206" spans="1:13" x14ac:dyDescent="0.25">
      <c r="A206" s="10" t="s">
        <v>15</v>
      </c>
      <c r="B206" s="10" t="s">
        <v>481</v>
      </c>
      <c r="C206" s="2">
        <v>45</v>
      </c>
      <c r="D206" s="2">
        <v>16</v>
      </c>
      <c r="E206" s="7" t="s">
        <v>482</v>
      </c>
      <c r="F206" s="2" t="s">
        <v>150</v>
      </c>
      <c r="G206" s="2">
        <v>8</v>
      </c>
      <c r="H206" s="2">
        <v>49</v>
      </c>
      <c r="I206" s="2">
        <v>6</v>
      </c>
      <c r="J206" s="2">
        <f t="shared" si="14"/>
        <v>14</v>
      </c>
      <c r="K206" s="2">
        <v>142</v>
      </c>
      <c r="L206" s="2">
        <f t="shared" si="12"/>
        <v>205</v>
      </c>
      <c r="M206" s="8">
        <f t="shared" si="13"/>
        <v>6.8292682926829276</v>
      </c>
    </row>
    <row r="207" spans="1:13" x14ac:dyDescent="0.25">
      <c r="A207" s="9" t="s">
        <v>6</v>
      </c>
      <c r="B207" s="9" t="s">
        <v>483</v>
      </c>
      <c r="C207" s="2">
        <v>45</v>
      </c>
      <c r="D207" s="2">
        <v>17</v>
      </c>
      <c r="E207" s="7" t="s">
        <v>484</v>
      </c>
      <c r="F207" s="2" t="s">
        <v>9</v>
      </c>
      <c r="G207" s="2">
        <v>4</v>
      </c>
      <c r="H207" s="2">
        <v>23</v>
      </c>
      <c r="I207" s="2">
        <v>7</v>
      </c>
      <c r="J207" s="2">
        <f t="shared" si="14"/>
        <v>11</v>
      </c>
      <c r="K207" s="2">
        <v>197</v>
      </c>
      <c r="L207" s="2">
        <f t="shared" si="12"/>
        <v>231</v>
      </c>
      <c r="M207" s="8">
        <f t="shared" si="13"/>
        <v>4.7619047619047619</v>
      </c>
    </row>
    <row r="208" spans="1:13" x14ac:dyDescent="0.25">
      <c r="A208" s="13" t="s">
        <v>26</v>
      </c>
      <c r="B208" s="13" t="s">
        <v>485</v>
      </c>
      <c r="C208" s="2">
        <v>45</v>
      </c>
      <c r="D208" s="2">
        <v>18</v>
      </c>
      <c r="E208" s="7" t="s">
        <v>486</v>
      </c>
      <c r="F208" s="2" t="s">
        <v>253</v>
      </c>
      <c r="G208" s="2">
        <v>5</v>
      </c>
      <c r="H208" s="2">
        <v>30</v>
      </c>
      <c r="I208" s="2">
        <v>8</v>
      </c>
      <c r="J208" s="2">
        <f t="shared" si="14"/>
        <v>13</v>
      </c>
      <c r="K208" s="2">
        <v>218</v>
      </c>
      <c r="L208" s="2">
        <f t="shared" si="12"/>
        <v>261</v>
      </c>
      <c r="M208" s="8">
        <f t="shared" si="13"/>
        <v>4.980842911877394</v>
      </c>
    </row>
    <row r="209" spans="1:13" x14ac:dyDescent="0.25">
      <c r="A209" s="6" t="s">
        <v>3</v>
      </c>
      <c r="B209" s="6" t="s">
        <v>487</v>
      </c>
      <c r="C209" s="2">
        <v>45</v>
      </c>
      <c r="D209" s="2">
        <v>19</v>
      </c>
      <c r="E209" s="7" t="str">
        <f>C209&amp;D209</f>
        <v>4519</v>
      </c>
      <c r="F209" s="2" t="s">
        <v>63</v>
      </c>
      <c r="G209" s="2">
        <v>5</v>
      </c>
      <c r="H209" s="2">
        <v>16</v>
      </c>
      <c r="I209" s="2">
        <v>6</v>
      </c>
      <c r="J209" s="2">
        <f t="shared" si="14"/>
        <v>11</v>
      </c>
      <c r="K209" s="2">
        <v>104</v>
      </c>
      <c r="L209" s="2">
        <f t="shared" si="12"/>
        <v>131</v>
      </c>
      <c r="M209" s="8">
        <f t="shared" si="13"/>
        <v>8.3969465648854964</v>
      </c>
    </row>
    <row r="210" spans="1:13" x14ac:dyDescent="0.25">
      <c r="A210" s="13" t="s">
        <v>26</v>
      </c>
      <c r="B210" s="13" t="s">
        <v>488</v>
      </c>
      <c r="C210" s="2">
        <v>45</v>
      </c>
      <c r="D210" s="2">
        <v>20</v>
      </c>
      <c r="E210" s="7" t="s">
        <v>489</v>
      </c>
      <c r="F210" s="2" t="s">
        <v>253</v>
      </c>
      <c r="G210" s="2">
        <v>5</v>
      </c>
      <c r="H210" s="2">
        <v>9</v>
      </c>
      <c r="I210" s="2">
        <v>9</v>
      </c>
      <c r="J210" s="2">
        <f t="shared" si="14"/>
        <v>14</v>
      </c>
      <c r="K210" s="2">
        <v>142</v>
      </c>
      <c r="L210" s="2">
        <f t="shared" si="12"/>
        <v>165</v>
      </c>
      <c r="M210" s="8">
        <f t="shared" si="13"/>
        <v>8.4848484848484862</v>
      </c>
    </row>
    <row r="211" spans="1:13" x14ac:dyDescent="0.25">
      <c r="A211" s="13" t="s">
        <v>26</v>
      </c>
      <c r="B211" s="13" t="s">
        <v>490</v>
      </c>
      <c r="C211" s="2">
        <v>45</v>
      </c>
      <c r="D211" s="2">
        <v>21</v>
      </c>
      <c r="E211" s="7" t="s">
        <v>491</v>
      </c>
      <c r="F211" s="2" t="s">
        <v>277</v>
      </c>
      <c r="G211" s="2">
        <v>0</v>
      </c>
      <c r="H211" s="2">
        <v>10</v>
      </c>
      <c r="I211" s="2">
        <v>5</v>
      </c>
      <c r="J211" s="2">
        <f t="shared" si="14"/>
        <v>5</v>
      </c>
      <c r="K211" s="2">
        <v>135</v>
      </c>
      <c r="L211" s="2">
        <f t="shared" si="12"/>
        <v>150</v>
      </c>
      <c r="M211" s="8">
        <f t="shared" si="13"/>
        <v>3.3333333333333335</v>
      </c>
    </row>
    <row r="212" spans="1:13" x14ac:dyDescent="0.25">
      <c r="A212" s="22" t="s">
        <v>288</v>
      </c>
      <c r="B212" s="22" t="s">
        <v>492</v>
      </c>
      <c r="C212" s="2">
        <v>45</v>
      </c>
      <c r="D212" s="2">
        <v>22</v>
      </c>
      <c r="E212" s="7" t="s">
        <v>493</v>
      </c>
      <c r="F212" s="2" t="s">
        <v>364</v>
      </c>
      <c r="G212" s="2">
        <v>4</v>
      </c>
      <c r="H212" s="2">
        <v>9</v>
      </c>
      <c r="I212" s="2">
        <v>7</v>
      </c>
      <c r="J212" s="2">
        <f t="shared" si="14"/>
        <v>11</v>
      </c>
      <c r="K212" s="2">
        <v>138</v>
      </c>
      <c r="L212" s="2">
        <f t="shared" si="12"/>
        <v>158</v>
      </c>
      <c r="M212" s="8">
        <f t="shared" si="13"/>
        <v>6.962025316455696</v>
      </c>
    </row>
    <row r="213" spans="1:13" x14ac:dyDescent="0.25">
      <c r="A213" s="13" t="s">
        <v>26</v>
      </c>
      <c r="B213" s="13" t="s">
        <v>494</v>
      </c>
      <c r="C213" s="2">
        <v>45</v>
      </c>
      <c r="D213" s="2">
        <v>23</v>
      </c>
      <c r="E213" s="7" t="s">
        <v>495</v>
      </c>
      <c r="F213" s="2" t="s">
        <v>211</v>
      </c>
      <c r="G213" s="2">
        <v>10</v>
      </c>
      <c r="H213" s="2">
        <v>22</v>
      </c>
      <c r="I213" s="2">
        <v>12</v>
      </c>
      <c r="J213" s="2">
        <f t="shared" si="14"/>
        <v>22</v>
      </c>
      <c r="K213" s="2">
        <v>174</v>
      </c>
      <c r="L213" s="2">
        <f t="shared" si="12"/>
        <v>218</v>
      </c>
      <c r="M213" s="8">
        <f t="shared" si="13"/>
        <v>10.091743119266056</v>
      </c>
    </row>
    <row r="214" spans="1:13" x14ac:dyDescent="0.25">
      <c r="A214" s="22" t="s">
        <v>288</v>
      </c>
      <c r="B214" s="22" t="s">
        <v>496</v>
      </c>
      <c r="C214" s="2">
        <v>45</v>
      </c>
      <c r="D214" s="2">
        <v>24</v>
      </c>
      <c r="E214" s="7" t="s">
        <v>497</v>
      </c>
      <c r="F214" s="2" t="s">
        <v>352</v>
      </c>
      <c r="G214" s="2">
        <v>3</v>
      </c>
      <c r="H214" s="2">
        <v>5</v>
      </c>
      <c r="I214" s="2">
        <v>3</v>
      </c>
      <c r="J214" s="2">
        <f t="shared" si="14"/>
        <v>6</v>
      </c>
      <c r="K214" s="2">
        <v>97</v>
      </c>
      <c r="L214" s="2">
        <f t="shared" si="12"/>
        <v>108</v>
      </c>
      <c r="M214" s="8">
        <f t="shared" si="13"/>
        <v>5.5555555555555554</v>
      </c>
    </row>
    <row r="215" spans="1:13" x14ac:dyDescent="0.25">
      <c r="A215" s="13" t="s">
        <v>26</v>
      </c>
      <c r="B215" s="13" t="s">
        <v>498</v>
      </c>
      <c r="C215" s="2">
        <v>45</v>
      </c>
      <c r="D215" s="2">
        <v>25</v>
      </c>
      <c r="E215" s="7" t="s">
        <v>499</v>
      </c>
      <c r="F215" s="2" t="s">
        <v>58</v>
      </c>
      <c r="G215" s="2">
        <v>1</v>
      </c>
      <c r="H215" s="2">
        <v>2</v>
      </c>
      <c r="I215" s="2">
        <v>1</v>
      </c>
      <c r="J215" s="2">
        <f t="shared" si="14"/>
        <v>2</v>
      </c>
      <c r="K215" s="2">
        <v>88</v>
      </c>
      <c r="L215" s="2">
        <f t="shared" si="12"/>
        <v>92</v>
      </c>
      <c r="M215" s="8">
        <f t="shared" si="13"/>
        <v>2.1739130434782608</v>
      </c>
    </row>
    <row r="216" spans="1:13" x14ac:dyDescent="0.25">
      <c r="A216" s="13" t="s">
        <v>26</v>
      </c>
      <c r="B216" s="13" t="s">
        <v>500</v>
      </c>
      <c r="C216" s="2">
        <v>45</v>
      </c>
      <c r="D216" s="2">
        <v>26</v>
      </c>
      <c r="E216" s="7" t="s">
        <v>501</v>
      </c>
      <c r="F216" s="2" t="s">
        <v>29</v>
      </c>
      <c r="G216" s="2">
        <v>1</v>
      </c>
      <c r="H216" s="2">
        <v>2</v>
      </c>
      <c r="I216" s="2">
        <v>0</v>
      </c>
      <c r="J216" s="2">
        <f t="shared" si="14"/>
        <v>1</v>
      </c>
      <c r="K216" s="2">
        <v>82</v>
      </c>
      <c r="L216" s="2">
        <f t="shared" si="12"/>
        <v>85</v>
      </c>
      <c r="M216" s="8">
        <f t="shared" si="13"/>
        <v>1.1764705882352942</v>
      </c>
    </row>
    <row r="217" spans="1:13" x14ac:dyDescent="0.25">
      <c r="A217" s="22" t="s">
        <v>288</v>
      </c>
      <c r="B217" s="22" t="s">
        <v>502</v>
      </c>
      <c r="C217" s="2">
        <v>45</v>
      </c>
      <c r="D217" s="2">
        <v>27</v>
      </c>
      <c r="E217" s="7" t="s">
        <v>503</v>
      </c>
      <c r="F217" s="2" t="s">
        <v>413</v>
      </c>
      <c r="G217" s="2">
        <v>3</v>
      </c>
      <c r="H217" s="2">
        <v>7</v>
      </c>
      <c r="I217" s="2">
        <v>5</v>
      </c>
      <c r="J217" s="2">
        <f t="shared" si="14"/>
        <v>8</v>
      </c>
      <c r="K217" s="2">
        <v>170</v>
      </c>
      <c r="L217" s="2">
        <f t="shared" si="12"/>
        <v>185</v>
      </c>
      <c r="M217" s="8">
        <f t="shared" si="13"/>
        <v>4.3243243243243246</v>
      </c>
    </row>
    <row r="218" spans="1:13" x14ac:dyDescent="0.25">
      <c r="A218" s="22" t="s">
        <v>288</v>
      </c>
      <c r="B218" s="22" t="s">
        <v>504</v>
      </c>
      <c r="C218" s="2">
        <v>45</v>
      </c>
      <c r="D218" s="2">
        <v>29</v>
      </c>
      <c r="E218" s="7" t="s">
        <v>505</v>
      </c>
      <c r="F218" s="2" t="s">
        <v>430</v>
      </c>
      <c r="G218" s="2">
        <v>2</v>
      </c>
      <c r="H218" s="2">
        <v>13</v>
      </c>
      <c r="I218" s="2">
        <v>3</v>
      </c>
      <c r="J218" s="2">
        <f t="shared" si="14"/>
        <v>5</v>
      </c>
      <c r="K218" s="2">
        <v>131</v>
      </c>
      <c r="L218" s="2">
        <f t="shared" si="12"/>
        <v>149</v>
      </c>
      <c r="M218" s="8">
        <f t="shared" si="13"/>
        <v>3.3557046979865772</v>
      </c>
    </row>
    <row r="219" spans="1:13" x14ac:dyDescent="0.25">
      <c r="A219" s="22" t="s">
        <v>288</v>
      </c>
      <c r="B219" s="22" t="s">
        <v>506</v>
      </c>
      <c r="C219" s="2">
        <v>45</v>
      </c>
      <c r="D219" s="2">
        <v>30</v>
      </c>
      <c r="E219" s="7" t="s">
        <v>507</v>
      </c>
      <c r="F219" s="2" t="s">
        <v>420</v>
      </c>
      <c r="G219" s="2">
        <v>3</v>
      </c>
      <c r="H219" s="2">
        <v>1</v>
      </c>
      <c r="I219" s="2">
        <v>6</v>
      </c>
      <c r="J219" s="2">
        <f t="shared" si="14"/>
        <v>9</v>
      </c>
      <c r="K219" s="2">
        <v>81</v>
      </c>
      <c r="L219" s="2">
        <f t="shared" si="12"/>
        <v>91</v>
      </c>
      <c r="M219" s="8">
        <f t="shared" si="13"/>
        <v>9.8901098901098905</v>
      </c>
    </row>
    <row r="220" spans="1:13" x14ac:dyDescent="0.25">
      <c r="A220" s="11" t="s">
        <v>19</v>
      </c>
      <c r="B220" s="12" t="s">
        <v>508</v>
      </c>
      <c r="C220" s="2">
        <v>45</v>
      </c>
      <c r="D220" s="2">
        <v>31</v>
      </c>
      <c r="E220" s="7" t="s">
        <v>509</v>
      </c>
      <c r="F220" s="2" t="s">
        <v>22</v>
      </c>
      <c r="G220" s="2">
        <v>2</v>
      </c>
      <c r="H220" s="2">
        <v>1</v>
      </c>
      <c r="I220" s="2">
        <v>7</v>
      </c>
      <c r="J220" s="2">
        <f t="shared" si="14"/>
        <v>9</v>
      </c>
      <c r="K220" s="2">
        <v>53</v>
      </c>
      <c r="L220" s="2">
        <f t="shared" si="12"/>
        <v>63</v>
      </c>
      <c r="M220" s="8">
        <f t="shared" si="13"/>
        <v>14.285714285714285</v>
      </c>
    </row>
    <row r="221" spans="1:13" x14ac:dyDescent="0.25">
      <c r="A221" s="22" t="s">
        <v>288</v>
      </c>
      <c r="B221" s="22" t="s">
        <v>510</v>
      </c>
      <c r="C221" s="2">
        <v>45</v>
      </c>
      <c r="D221" s="2">
        <v>32</v>
      </c>
      <c r="E221" s="7" t="s">
        <v>511</v>
      </c>
      <c r="F221" s="2" t="s">
        <v>367</v>
      </c>
      <c r="G221" s="2">
        <v>1</v>
      </c>
      <c r="H221" s="2">
        <v>6</v>
      </c>
      <c r="I221" s="2">
        <v>5</v>
      </c>
      <c r="J221" s="2">
        <f t="shared" si="14"/>
        <v>6</v>
      </c>
      <c r="K221" s="2">
        <v>57</v>
      </c>
      <c r="L221" s="2">
        <f t="shared" ref="L221:L252" si="15">H221+J221+K221</f>
        <v>69</v>
      </c>
      <c r="M221" s="8">
        <f t="shared" si="13"/>
        <v>8.695652173913043</v>
      </c>
    </row>
    <row r="222" spans="1:13" x14ac:dyDescent="0.25">
      <c r="A222" s="11" t="s">
        <v>19</v>
      </c>
      <c r="B222" s="12" t="s">
        <v>512</v>
      </c>
      <c r="C222" s="2">
        <v>45</v>
      </c>
      <c r="D222" s="2">
        <v>33</v>
      </c>
      <c r="E222" s="7" t="s">
        <v>513</v>
      </c>
      <c r="F222" s="2" t="s">
        <v>89</v>
      </c>
      <c r="G222" s="2">
        <v>2</v>
      </c>
      <c r="H222" s="2">
        <v>1</v>
      </c>
      <c r="I222" s="2">
        <v>10</v>
      </c>
      <c r="J222" s="2">
        <f t="shared" si="14"/>
        <v>12</v>
      </c>
      <c r="K222" s="2">
        <v>45</v>
      </c>
      <c r="L222" s="2">
        <f t="shared" si="15"/>
        <v>58</v>
      </c>
      <c r="M222" s="8">
        <f t="shared" si="13"/>
        <v>20.689655172413794</v>
      </c>
    </row>
    <row r="223" spans="1:13" x14ac:dyDescent="0.25">
      <c r="A223" s="11" t="s">
        <v>19</v>
      </c>
      <c r="B223" s="12" t="s">
        <v>514</v>
      </c>
      <c r="C223" s="2">
        <v>45</v>
      </c>
      <c r="D223" s="2">
        <v>34</v>
      </c>
      <c r="E223" s="7" t="s">
        <v>515</v>
      </c>
      <c r="F223" s="2" t="s">
        <v>166</v>
      </c>
      <c r="G223" s="2">
        <v>6</v>
      </c>
      <c r="H223" s="2">
        <v>10</v>
      </c>
      <c r="I223" s="2">
        <v>6</v>
      </c>
      <c r="J223" s="2">
        <f t="shared" si="14"/>
        <v>12</v>
      </c>
      <c r="K223" s="2">
        <v>67</v>
      </c>
      <c r="L223" s="2">
        <f t="shared" si="15"/>
        <v>89</v>
      </c>
      <c r="M223" s="8">
        <f t="shared" si="13"/>
        <v>13.48314606741573</v>
      </c>
    </row>
    <row r="224" spans="1:13" x14ac:dyDescent="0.25">
      <c r="A224" s="11" t="s">
        <v>19</v>
      </c>
      <c r="B224" s="12" t="s">
        <v>516</v>
      </c>
      <c r="C224" s="2">
        <v>45</v>
      </c>
      <c r="D224" s="2">
        <v>35</v>
      </c>
      <c r="E224" s="7" t="s">
        <v>517</v>
      </c>
      <c r="F224" s="2" t="s">
        <v>374</v>
      </c>
      <c r="G224" s="2">
        <v>0</v>
      </c>
      <c r="H224" s="2">
        <v>6</v>
      </c>
      <c r="I224" s="2">
        <v>1</v>
      </c>
      <c r="J224" s="2">
        <f t="shared" si="14"/>
        <v>1</v>
      </c>
      <c r="K224" s="2">
        <v>88</v>
      </c>
      <c r="L224" s="2">
        <f t="shared" si="15"/>
        <v>95</v>
      </c>
      <c r="M224" s="8">
        <f t="shared" si="13"/>
        <v>1.0526315789473684</v>
      </c>
    </row>
    <row r="225" spans="1:13" x14ac:dyDescent="0.25">
      <c r="A225" s="11" t="s">
        <v>19</v>
      </c>
      <c r="B225" s="12" t="s">
        <v>518</v>
      </c>
      <c r="C225" s="2">
        <v>45</v>
      </c>
      <c r="D225" s="2">
        <v>36</v>
      </c>
      <c r="E225" s="7" t="s">
        <v>519</v>
      </c>
      <c r="F225" s="2" t="s">
        <v>260</v>
      </c>
      <c r="G225" s="2">
        <v>1</v>
      </c>
      <c r="H225" s="2">
        <v>17</v>
      </c>
      <c r="I225" s="2">
        <v>1</v>
      </c>
      <c r="J225" s="2">
        <f t="shared" si="14"/>
        <v>2</v>
      </c>
      <c r="K225" s="2">
        <v>71</v>
      </c>
      <c r="L225" s="2">
        <f t="shared" si="15"/>
        <v>90</v>
      </c>
      <c r="M225" s="8">
        <f t="shared" si="13"/>
        <v>2.2222222222222223</v>
      </c>
    </row>
    <row r="226" spans="1:13" x14ac:dyDescent="0.25">
      <c r="A226" s="11" t="s">
        <v>19</v>
      </c>
      <c r="B226" s="12" t="s">
        <v>520</v>
      </c>
      <c r="C226" s="2">
        <v>45</v>
      </c>
      <c r="D226" s="2">
        <v>37</v>
      </c>
      <c r="E226" s="7" t="s">
        <v>521</v>
      </c>
      <c r="F226" s="2" t="s">
        <v>208</v>
      </c>
      <c r="G226" s="2">
        <v>0</v>
      </c>
      <c r="H226" s="2">
        <v>11</v>
      </c>
      <c r="I226" s="2">
        <v>2</v>
      </c>
      <c r="J226" s="2">
        <f t="shared" si="14"/>
        <v>2</v>
      </c>
      <c r="K226" s="2">
        <v>98</v>
      </c>
      <c r="L226" s="2">
        <f t="shared" si="15"/>
        <v>111</v>
      </c>
      <c r="M226" s="8">
        <f t="shared" si="13"/>
        <v>1.8018018018018018</v>
      </c>
    </row>
    <row r="227" spans="1:13" x14ac:dyDescent="0.25">
      <c r="A227" s="11" t="s">
        <v>19</v>
      </c>
      <c r="B227" s="12" t="s">
        <v>522</v>
      </c>
      <c r="C227" s="2">
        <v>45</v>
      </c>
      <c r="D227" s="2">
        <v>38</v>
      </c>
      <c r="E227" s="7" t="s">
        <v>523</v>
      </c>
      <c r="F227" s="2" t="s">
        <v>346</v>
      </c>
      <c r="G227" s="2">
        <v>3</v>
      </c>
      <c r="H227" s="2">
        <v>5</v>
      </c>
      <c r="I227" s="2">
        <v>6</v>
      </c>
      <c r="J227" s="2">
        <f t="shared" si="14"/>
        <v>9</v>
      </c>
      <c r="K227" s="2">
        <v>117</v>
      </c>
      <c r="L227" s="2">
        <f t="shared" si="15"/>
        <v>131</v>
      </c>
      <c r="M227" s="8">
        <f t="shared" si="13"/>
        <v>6.8702290076335881</v>
      </c>
    </row>
    <row r="228" spans="1:13" x14ac:dyDescent="0.25">
      <c r="A228" s="11" t="s">
        <v>19</v>
      </c>
      <c r="B228" s="12" t="s">
        <v>524</v>
      </c>
      <c r="C228" s="2">
        <v>45</v>
      </c>
      <c r="D228" s="2">
        <v>39</v>
      </c>
      <c r="E228" s="7" t="s">
        <v>525</v>
      </c>
      <c r="F228" s="2" t="s">
        <v>343</v>
      </c>
      <c r="G228" s="2">
        <v>0</v>
      </c>
      <c r="H228" s="2">
        <v>11</v>
      </c>
      <c r="I228" s="2">
        <v>3</v>
      </c>
      <c r="J228" s="2">
        <f t="shared" si="14"/>
        <v>3</v>
      </c>
      <c r="K228" s="2">
        <v>81</v>
      </c>
      <c r="L228" s="2">
        <f t="shared" si="15"/>
        <v>95</v>
      </c>
      <c r="M228" s="8">
        <f t="shared" si="13"/>
        <v>3.1578947368421053</v>
      </c>
    </row>
    <row r="229" spans="1:13" x14ac:dyDescent="0.25">
      <c r="A229" s="11" t="s">
        <v>19</v>
      </c>
      <c r="B229" s="12" t="s">
        <v>526</v>
      </c>
      <c r="C229" s="2">
        <v>45</v>
      </c>
      <c r="D229" s="2">
        <v>40</v>
      </c>
      <c r="E229" s="7" t="s">
        <v>527</v>
      </c>
      <c r="F229" s="2" t="s">
        <v>208</v>
      </c>
      <c r="G229" s="2">
        <v>3</v>
      </c>
      <c r="H229" s="2">
        <v>7</v>
      </c>
      <c r="I229" s="2">
        <v>3</v>
      </c>
      <c r="J229" s="2">
        <f t="shared" si="14"/>
        <v>6</v>
      </c>
      <c r="K229" s="2">
        <v>48</v>
      </c>
      <c r="L229" s="2">
        <f t="shared" si="15"/>
        <v>61</v>
      </c>
      <c r="M229" s="8">
        <f t="shared" si="13"/>
        <v>9.8360655737704921</v>
      </c>
    </row>
    <row r="230" spans="1:13" x14ac:dyDescent="0.25">
      <c r="A230" s="11" t="s">
        <v>19</v>
      </c>
      <c r="B230" s="12" t="s">
        <v>528</v>
      </c>
      <c r="C230" s="2">
        <v>45</v>
      </c>
      <c r="D230" s="2">
        <v>41</v>
      </c>
      <c r="E230" s="7" t="s">
        <v>529</v>
      </c>
      <c r="F230" s="2" t="s">
        <v>333</v>
      </c>
      <c r="G230" s="2">
        <v>4</v>
      </c>
      <c r="H230" s="2">
        <v>1</v>
      </c>
      <c r="I230" s="2">
        <v>8</v>
      </c>
      <c r="J230" s="2">
        <f t="shared" si="14"/>
        <v>12</v>
      </c>
      <c r="K230" s="2">
        <v>35</v>
      </c>
      <c r="L230" s="2">
        <f t="shared" si="15"/>
        <v>48</v>
      </c>
      <c r="M230" s="8">
        <f t="shared" si="13"/>
        <v>25</v>
      </c>
    </row>
    <row r="231" spans="1:13" x14ac:dyDescent="0.25">
      <c r="A231" s="10" t="s">
        <v>15</v>
      </c>
      <c r="B231" s="10" t="s">
        <v>530</v>
      </c>
      <c r="C231" s="2">
        <v>46</v>
      </c>
      <c r="D231" s="2">
        <v>1</v>
      </c>
      <c r="E231" s="7" t="s">
        <v>531</v>
      </c>
      <c r="F231" s="2" t="s">
        <v>66</v>
      </c>
      <c r="G231" s="2">
        <v>1</v>
      </c>
      <c r="H231" s="2">
        <v>10</v>
      </c>
      <c r="I231" s="2">
        <v>9</v>
      </c>
      <c r="J231" s="2">
        <f t="shared" si="14"/>
        <v>10</v>
      </c>
      <c r="K231" s="2">
        <v>102</v>
      </c>
      <c r="L231" s="2">
        <f t="shared" si="15"/>
        <v>122</v>
      </c>
      <c r="M231" s="8">
        <f t="shared" si="13"/>
        <v>8.1967213114754092</v>
      </c>
    </row>
    <row r="232" spans="1:13" x14ac:dyDescent="0.25">
      <c r="A232" s="10" t="s">
        <v>15</v>
      </c>
      <c r="B232" s="10" t="s">
        <v>532</v>
      </c>
      <c r="C232" s="2">
        <v>46</v>
      </c>
      <c r="D232" s="2">
        <v>3</v>
      </c>
      <c r="E232" s="7" t="s">
        <v>533</v>
      </c>
      <c r="F232" s="2" t="s">
        <v>147</v>
      </c>
      <c r="G232" s="2">
        <v>2</v>
      </c>
      <c r="H232" s="2">
        <v>14</v>
      </c>
      <c r="I232" s="2">
        <v>4</v>
      </c>
      <c r="J232" s="2">
        <f t="shared" si="14"/>
        <v>6</v>
      </c>
      <c r="K232" s="2">
        <v>79</v>
      </c>
      <c r="L232" s="2">
        <f t="shared" si="15"/>
        <v>99</v>
      </c>
      <c r="M232" s="8">
        <f t="shared" si="13"/>
        <v>6.0606060606060606</v>
      </c>
    </row>
    <row r="233" spans="1:13" x14ac:dyDescent="0.25">
      <c r="A233" s="22" t="s">
        <v>288</v>
      </c>
      <c r="B233" s="22" t="s">
        <v>534</v>
      </c>
      <c r="C233" s="2">
        <v>46</v>
      </c>
      <c r="D233" s="2">
        <v>4</v>
      </c>
      <c r="E233" s="7" t="s">
        <v>535</v>
      </c>
      <c r="F233" s="2" t="s">
        <v>357</v>
      </c>
      <c r="G233" s="2">
        <v>0</v>
      </c>
      <c r="H233" s="2">
        <v>4</v>
      </c>
      <c r="I233" s="2">
        <v>3</v>
      </c>
      <c r="J233" s="2">
        <f t="shared" si="14"/>
        <v>3</v>
      </c>
      <c r="K233" s="2">
        <v>55</v>
      </c>
      <c r="L233" s="2">
        <f t="shared" si="15"/>
        <v>62</v>
      </c>
      <c r="M233" s="8">
        <f t="shared" si="13"/>
        <v>4.838709677419355</v>
      </c>
    </row>
    <row r="234" spans="1:13" x14ac:dyDescent="0.25">
      <c r="A234" s="9" t="s">
        <v>6</v>
      </c>
      <c r="B234" s="9" t="s">
        <v>536</v>
      </c>
      <c r="C234" s="2">
        <v>46</v>
      </c>
      <c r="D234" s="2">
        <v>5</v>
      </c>
      <c r="E234" s="7" t="s">
        <v>537</v>
      </c>
      <c r="F234" s="2" t="s">
        <v>25</v>
      </c>
      <c r="G234" s="2">
        <v>3</v>
      </c>
      <c r="H234" s="2">
        <v>7</v>
      </c>
      <c r="I234" s="2">
        <v>4</v>
      </c>
      <c r="J234" s="2">
        <f t="shared" si="14"/>
        <v>7</v>
      </c>
      <c r="K234" s="2">
        <v>103</v>
      </c>
      <c r="L234" s="2">
        <f t="shared" si="15"/>
        <v>117</v>
      </c>
      <c r="M234" s="8">
        <f t="shared" si="13"/>
        <v>5.982905982905983</v>
      </c>
    </row>
    <row r="235" spans="1:13" x14ac:dyDescent="0.25">
      <c r="A235" s="11" t="s">
        <v>19</v>
      </c>
      <c r="B235" s="12" t="s">
        <v>538</v>
      </c>
      <c r="C235" s="2">
        <v>46</v>
      </c>
      <c r="D235" s="2">
        <v>6</v>
      </c>
      <c r="E235" s="7" t="s">
        <v>539</v>
      </c>
      <c r="F235" s="2" t="s">
        <v>22</v>
      </c>
      <c r="G235" s="2">
        <v>1</v>
      </c>
      <c r="H235" s="2">
        <v>8</v>
      </c>
      <c r="I235" s="2">
        <v>1</v>
      </c>
      <c r="J235" s="2">
        <f t="shared" si="14"/>
        <v>2</v>
      </c>
      <c r="K235" s="2">
        <v>15</v>
      </c>
      <c r="L235" s="2">
        <f t="shared" si="15"/>
        <v>25</v>
      </c>
      <c r="M235" s="8">
        <f t="shared" si="13"/>
        <v>8</v>
      </c>
    </row>
    <row r="236" spans="1:13" x14ac:dyDescent="0.25">
      <c r="A236" s="11" t="s">
        <v>19</v>
      </c>
      <c r="B236" s="12" t="s">
        <v>540</v>
      </c>
      <c r="C236" s="2">
        <v>46</v>
      </c>
      <c r="D236" s="2">
        <v>7</v>
      </c>
      <c r="E236" s="7" t="s">
        <v>541</v>
      </c>
      <c r="F236" s="2" t="s">
        <v>71</v>
      </c>
      <c r="G236" s="2">
        <v>4</v>
      </c>
      <c r="H236" s="2">
        <v>9</v>
      </c>
      <c r="I236" s="2">
        <v>7</v>
      </c>
      <c r="J236" s="2">
        <f t="shared" si="14"/>
        <v>11</v>
      </c>
      <c r="K236" s="2">
        <v>108</v>
      </c>
      <c r="L236" s="2">
        <f t="shared" si="15"/>
        <v>128</v>
      </c>
      <c r="M236" s="8">
        <f t="shared" si="13"/>
        <v>8.59375</v>
      </c>
    </row>
    <row r="237" spans="1:13" x14ac:dyDescent="0.25">
      <c r="A237" s="9" t="s">
        <v>6</v>
      </c>
      <c r="B237" s="9" t="s">
        <v>542</v>
      </c>
      <c r="C237" s="2">
        <v>46</v>
      </c>
      <c r="D237" s="2">
        <v>8</v>
      </c>
      <c r="E237" s="7" t="s">
        <v>543</v>
      </c>
      <c r="F237" s="2" t="s">
        <v>12</v>
      </c>
      <c r="G237" s="2">
        <v>3</v>
      </c>
      <c r="H237" s="2">
        <v>9</v>
      </c>
      <c r="I237" s="2">
        <v>7</v>
      </c>
      <c r="J237" s="2">
        <f t="shared" si="14"/>
        <v>10</v>
      </c>
      <c r="K237" s="2">
        <v>77</v>
      </c>
      <c r="L237" s="2">
        <f t="shared" si="15"/>
        <v>96</v>
      </c>
      <c r="M237" s="8">
        <f t="shared" si="13"/>
        <v>10.416666666666668</v>
      </c>
    </row>
    <row r="238" spans="1:13" x14ac:dyDescent="0.25">
      <c r="A238" s="6" t="s">
        <v>3</v>
      </c>
      <c r="B238" s="6" t="s">
        <v>544</v>
      </c>
      <c r="C238" s="2">
        <v>46</v>
      </c>
      <c r="D238" s="2">
        <v>10</v>
      </c>
      <c r="E238" s="7" t="str">
        <f>C238&amp;D238</f>
        <v>4610</v>
      </c>
      <c r="F238" s="2" t="s">
        <v>128</v>
      </c>
      <c r="G238" s="2">
        <v>8</v>
      </c>
      <c r="H238" s="2">
        <v>13</v>
      </c>
      <c r="I238" s="2">
        <v>6</v>
      </c>
      <c r="J238" s="2">
        <f t="shared" si="14"/>
        <v>14</v>
      </c>
      <c r="K238" s="2">
        <v>171</v>
      </c>
      <c r="L238" s="2">
        <f t="shared" si="15"/>
        <v>198</v>
      </c>
      <c r="M238" s="8">
        <f t="shared" si="13"/>
        <v>7.0707070707070701</v>
      </c>
    </row>
    <row r="239" spans="1:13" x14ac:dyDescent="0.25">
      <c r="A239" s="22" t="s">
        <v>288</v>
      </c>
      <c r="B239" s="22" t="s">
        <v>545</v>
      </c>
      <c r="C239" s="2">
        <v>46</v>
      </c>
      <c r="D239" s="2">
        <v>11</v>
      </c>
      <c r="E239" s="7" t="s">
        <v>546</v>
      </c>
      <c r="F239" s="2" t="s">
        <v>425</v>
      </c>
      <c r="G239" s="2">
        <v>1</v>
      </c>
      <c r="H239" s="2">
        <v>8</v>
      </c>
      <c r="I239" s="2">
        <v>3</v>
      </c>
      <c r="J239" s="2">
        <f t="shared" si="14"/>
        <v>4</v>
      </c>
      <c r="K239" s="2">
        <v>104</v>
      </c>
      <c r="L239" s="2">
        <f t="shared" si="15"/>
        <v>116</v>
      </c>
      <c r="M239" s="8">
        <f t="shared" si="13"/>
        <v>3.4482758620689653</v>
      </c>
    </row>
    <row r="240" spans="1:13" x14ac:dyDescent="0.25">
      <c r="A240" s="9" t="s">
        <v>6</v>
      </c>
      <c r="B240" s="9" t="s">
        <v>547</v>
      </c>
      <c r="C240" s="2">
        <v>46</v>
      </c>
      <c r="D240" s="2">
        <v>12</v>
      </c>
      <c r="E240" s="7" t="s">
        <v>548</v>
      </c>
      <c r="F240" s="2" t="s">
        <v>155</v>
      </c>
      <c r="G240" s="2">
        <v>4</v>
      </c>
      <c r="H240" s="2">
        <v>10</v>
      </c>
      <c r="I240" s="2">
        <v>7</v>
      </c>
      <c r="J240" s="2">
        <f t="shared" si="14"/>
        <v>11</v>
      </c>
      <c r="K240" s="2">
        <v>82</v>
      </c>
      <c r="L240" s="2">
        <f t="shared" si="15"/>
        <v>103</v>
      </c>
      <c r="M240" s="8">
        <f t="shared" si="13"/>
        <v>10.679611650485436</v>
      </c>
    </row>
    <row r="241" spans="1:13" x14ac:dyDescent="0.25">
      <c r="A241" s="22" t="s">
        <v>288</v>
      </c>
      <c r="B241" s="22" t="s">
        <v>549</v>
      </c>
      <c r="C241" s="2">
        <v>46</v>
      </c>
      <c r="D241" s="2">
        <v>13</v>
      </c>
      <c r="E241" s="7" t="s">
        <v>550</v>
      </c>
      <c r="F241" s="2" t="s">
        <v>433</v>
      </c>
      <c r="G241" s="2">
        <v>4</v>
      </c>
      <c r="H241" s="2">
        <v>28</v>
      </c>
      <c r="I241" s="2">
        <v>2</v>
      </c>
      <c r="J241" s="2">
        <f t="shared" si="14"/>
        <v>6</v>
      </c>
      <c r="K241" s="2">
        <v>111</v>
      </c>
      <c r="L241" s="2">
        <f t="shared" si="15"/>
        <v>145</v>
      </c>
      <c r="M241" s="8">
        <f t="shared" si="13"/>
        <v>4.1379310344827589</v>
      </c>
    </row>
    <row r="242" spans="1:13" x14ac:dyDescent="0.25">
      <c r="A242" s="9" t="s">
        <v>6</v>
      </c>
      <c r="B242" s="9" t="s">
        <v>551</v>
      </c>
      <c r="C242" s="2">
        <v>46</v>
      </c>
      <c r="D242" s="2">
        <v>14</v>
      </c>
      <c r="E242" s="7" t="s">
        <v>552</v>
      </c>
      <c r="F242" s="2" t="s">
        <v>98</v>
      </c>
      <c r="G242" s="2">
        <v>1</v>
      </c>
      <c r="H242" s="2">
        <v>36</v>
      </c>
      <c r="I242" s="2">
        <v>9</v>
      </c>
      <c r="J242" s="2">
        <f t="shared" si="14"/>
        <v>10</v>
      </c>
      <c r="K242" s="2">
        <v>177</v>
      </c>
      <c r="L242" s="2">
        <f t="shared" si="15"/>
        <v>223</v>
      </c>
      <c r="M242" s="8">
        <f t="shared" si="13"/>
        <v>4.4843049327354256</v>
      </c>
    </row>
    <row r="243" spans="1:13" x14ac:dyDescent="0.25">
      <c r="A243" s="22" t="s">
        <v>288</v>
      </c>
      <c r="B243" s="22" t="s">
        <v>553</v>
      </c>
      <c r="C243" s="2">
        <v>46</v>
      </c>
      <c r="D243" s="2">
        <v>15</v>
      </c>
      <c r="E243" s="7" t="s">
        <v>554</v>
      </c>
      <c r="F243" s="2" t="s">
        <v>352</v>
      </c>
      <c r="G243" s="2">
        <v>7</v>
      </c>
      <c r="H243" s="2">
        <v>13</v>
      </c>
      <c r="I243" s="2">
        <v>6</v>
      </c>
      <c r="J243" s="2">
        <f t="shared" si="14"/>
        <v>13</v>
      </c>
      <c r="K243" s="2">
        <v>115</v>
      </c>
      <c r="L243" s="2">
        <f t="shared" si="15"/>
        <v>141</v>
      </c>
      <c r="M243" s="8">
        <f t="shared" si="13"/>
        <v>9.2198581560283674</v>
      </c>
    </row>
    <row r="244" spans="1:13" x14ac:dyDescent="0.25">
      <c r="A244" s="14" t="s">
        <v>33</v>
      </c>
      <c r="B244" s="15" t="s">
        <v>555</v>
      </c>
      <c r="C244" s="2">
        <v>46</v>
      </c>
      <c r="D244" s="2">
        <v>16</v>
      </c>
      <c r="E244" s="7" t="s">
        <v>556</v>
      </c>
      <c r="F244" s="2" t="s">
        <v>36</v>
      </c>
      <c r="G244" s="2">
        <v>2</v>
      </c>
      <c r="H244" s="2">
        <v>3</v>
      </c>
      <c r="I244" s="2">
        <v>4</v>
      </c>
      <c r="J244" s="2">
        <f t="shared" si="14"/>
        <v>6</v>
      </c>
      <c r="K244" s="2">
        <v>89</v>
      </c>
      <c r="L244" s="2">
        <f t="shared" si="15"/>
        <v>98</v>
      </c>
      <c r="M244" s="8">
        <f t="shared" si="13"/>
        <v>6.1224489795918364</v>
      </c>
    </row>
    <row r="245" spans="1:13" x14ac:dyDescent="0.25">
      <c r="A245" s="6" t="s">
        <v>3</v>
      </c>
      <c r="B245" s="6" t="s">
        <v>557</v>
      </c>
      <c r="C245" s="2">
        <v>46</v>
      </c>
      <c r="D245" s="2">
        <v>17</v>
      </c>
      <c r="E245" s="7" t="str">
        <f>C245&amp;D245</f>
        <v>4617</v>
      </c>
      <c r="F245" s="2" t="s">
        <v>5</v>
      </c>
      <c r="G245" s="2">
        <v>2</v>
      </c>
      <c r="H245" s="2">
        <v>13</v>
      </c>
      <c r="I245" s="2">
        <v>6</v>
      </c>
      <c r="J245" s="2">
        <f t="shared" si="14"/>
        <v>8</v>
      </c>
      <c r="K245" s="2">
        <v>57</v>
      </c>
      <c r="L245" s="2">
        <f t="shared" si="15"/>
        <v>78</v>
      </c>
      <c r="M245" s="8">
        <f t="shared" si="13"/>
        <v>10.256410256410255</v>
      </c>
    </row>
    <row r="246" spans="1:13" x14ac:dyDescent="0.25">
      <c r="A246" s="14" t="s">
        <v>33</v>
      </c>
      <c r="B246" s="15" t="s">
        <v>558</v>
      </c>
      <c r="C246" s="2">
        <v>46</v>
      </c>
      <c r="D246" s="2">
        <v>18</v>
      </c>
      <c r="E246" s="7" t="s">
        <v>559</v>
      </c>
      <c r="F246" s="2" t="s">
        <v>46</v>
      </c>
      <c r="G246" s="2">
        <v>5</v>
      </c>
      <c r="H246" s="2">
        <v>9</v>
      </c>
      <c r="I246" s="2">
        <v>5</v>
      </c>
      <c r="J246" s="2">
        <f t="shared" si="14"/>
        <v>10</v>
      </c>
      <c r="K246" s="2">
        <v>143</v>
      </c>
      <c r="L246" s="2">
        <f t="shared" si="15"/>
        <v>162</v>
      </c>
      <c r="M246" s="8">
        <f t="shared" si="13"/>
        <v>6.1728395061728394</v>
      </c>
    </row>
    <row r="247" spans="1:13" x14ac:dyDescent="0.25">
      <c r="A247" s="22" t="s">
        <v>288</v>
      </c>
      <c r="B247" s="22" t="s">
        <v>560</v>
      </c>
      <c r="C247" s="2">
        <v>46</v>
      </c>
      <c r="D247" s="2">
        <v>19</v>
      </c>
      <c r="E247" s="7" t="s">
        <v>561</v>
      </c>
      <c r="F247" s="2" t="s">
        <v>364</v>
      </c>
      <c r="G247" s="2">
        <v>3</v>
      </c>
      <c r="H247" s="2">
        <v>24</v>
      </c>
      <c r="I247" s="2">
        <v>2</v>
      </c>
      <c r="J247" s="2">
        <f t="shared" si="14"/>
        <v>5</v>
      </c>
      <c r="K247" s="2">
        <v>155</v>
      </c>
      <c r="L247" s="2">
        <f t="shared" si="15"/>
        <v>184</v>
      </c>
      <c r="M247" s="8">
        <f t="shared" si="13"/>
        <v>2.7173913043478262</v>
      </c>
    </row>
    <row r="248" spans="1:13" x14ac:dyDescent="0.25">
      <c r="A248" s="22" t="s">
        <v>288</v>
      </c>
      <c r="B248" s="22" t="s">
        <v>562</v>
      </c>
      <c r="C248" s="2">
        <v>46</v>
      </c>
      <c r="D248" s="2">
        <v>20</v>
      </c>
      <c r="E248" s="7" t="s">
        <v>563</v>
      </c>
      <c r="F248" s="2" t="s">
        <v>413</v>
      </c>
      <c r="G248" s="2">
        <v>2</v>
      </c>
      <c r="H248" s="2">
        <v>16</v>
      </c>
      <c r="I248" s="2">
        <v>4</v>
      </c>
      <c r="J248" s="2">
        <f t="shared" si="14"/>
        <v>6</v>
      </c>
      <c r="K248" s="2">
        <v>204</v>
      </c>
      <c r="L248" s="2">
        <f t="shared" si="15"/>
        <v>226</v>
      </c>
      <c r="M248" s="8">
        <f t="shared" si="13"/>
        <v>2.6548672566371683</v>
      </c>
    </row>
    <row r="249" spans="1:13" x14ac:dyDescent="0.25">
      <c r="A249" s="22" t="s">
        <v>288</v>
      </c>
      <c r="B249" s="22" t="s">
        <v>564</v>
      </c>
      <c r="C249" s="2">
        <v>46</v>
      </c>
      <c r="D249" s="2">
        <v>21</v>
      </c>
      <c r="E249" s="7" t="s">
        <v>565</v>
      </c>
      <c r="F249" s="2" t="s">
        <v>291</v>
      </c>
      <c r="G249" s="2">
        <v>5</v>
      </c>
      <c r="H249" s="2">
        <v>14</v>
      </c>
      <c r="I249" s="2">
        <v>2</v>
      </c>
      <c r="J249" s="2">
        <f t="shared" si="14"/>
        <v>7</v>
      </c>
      <c r="K249" s="2">
        <v>97</v>
      </c>
      <c r="L249" s="2">
        <f t="shared" si="15"/>
        <v>118</v>
      </c>
      <c r="M249" s="8">
        <f t="shared" si="13"/>
        <v>5.9322033898305087</v>
      </c>
    </row>
    <row r="250" spans="1:13" x14ac:dyDescent="0.25">
      <c r="A250" s="11" t="s">
        <v>19</v>
      </c>
      <c r="B250" s="12" t="s">
        <v>566</v>
      </c>
      <c r="C250" s="2">
        <v>46</v>
      </c>
      <c r="D250" s="2">
        <v>22</v>
      </c>
      <c r="E250" s="7" t="s">
        <v>567</v>
      </c>
      <c r="F250" s="2" t="s">
        <v>89</v>
      </c>
      <c r="G250" s="2">
        <v>0</v>
      </c>
      <c r="H250" s="2">
        <v>7</v>
      </c>
      <c r="I250" s="2">
        <v>5</v>
      </c>
      <c r="J250" s="2">
        <f t="shared" si="14"/>
        <v>5</v>
      </c>
      <c r="K250" s="2">
        <v>118</v>
      </c>
      <c r="L250" s="2">
        <f t="shared" si="15"/>
        <v>130</v>
      </c>
      <c r="M250" s="8">
        <f t="shared" si="13"/>
        <v>3.8461538461538463</v>
      </c>
    </row>
    <row r="251" spans="1:13" x14ac:dyDescent="0.25">
      <c r="A251" s="13" t="s">
        <v>26</v>
      </c>
      <c r="B251" s="13" t="s">
        <v>568</v>
      </c>
      <c r="C251" s="2">
        <v>46</v>
      </c>
      <c r="D251" s="2">
        <v>23</v>
      </c>
      <c r="E251" s="7" t="s">
        <v>569</v>
      </c>
      <c r="F251" s="2" t="s">
        <v>336</v>
      </c>
      <c r="G251" s="2">
        <v>2</v>
      </c>
      <c r="H251" s="2">
        <v>6</v>
      </c>
      <c r="I251" s="2">
        <v>5</v>
      </c>
      <c r="J251" s="2">
        <f t="shared" si="14"/>
        <v>7</v>
      </c>
      <c r="K251" s="2">
        <v>103</v>
      </c>
      <c r="L251" s="2">
        <f t="shared" si="15"/>
        <v>116</v>
      </c>
      <c r="M251" s="8">
        <f t="shared" si="13"/>
        <v>6.0344827586206895</v>
      </c>
    </row>
    <row r="252" spans="1:13" x14ac:dyDescent="0.25">
      <c r="A252" s="11" t="s">
        <v>19</v>
      </c>
      <c r="B252" s="12" t="s">
        <v>570</v>
      </c>
      <c r="C252" s="2">
        <v>46</v>
      </c>
      <c r="D252" s="2">
        <v>25</v>
      </c>
      <c r="E252" s="7" t="s">
        <v>571</v>
      </c>
      <c r="F252" s="2" t="s">
        <v>330</v>
      </c>
      <c r="G252" s="2">
        <v>3</v>
      </c>
      <c r="H252" s="2">
        <v>3</v>
      </c>
      <c r="I252" s="2">
        <v>3</v>
      </c>
      <c r="J252" s="2">
        <f t="shared" si="14"/>
        <v>6</v>
      </c>
      <c r="K252" s="2">
        <v>107</v>
      </c>
      <c r="L252" s="2">
        <f t="shared" si="15"/>
        <v>116</v>
      </c>
      <c r="M252" s="8">
        <f t="shared" si="13"/>
        <v>5.1724137931034484</v>
      </c>
    </row>
    <row r="253" spans="1:13" x14ac:dyDescent="0.25">
      <c r="A253" s="14" t="s">
        <v>33</v>
      </c>
      <c r="B253" s="15" t="s">
        <v>572</v>
      </c>
      <c r="C253" s="2">
        <v>46</v>
      </c>
      <c r="D253" s="2">
        <v>26</v>
      </c>
      <c r="E253" s="7" t="s">
        <v>573</v>
      </c>
      <c r="F253" s="2" t="s">
        <v>101</v>
      </c>
      <c r="G253" s="2">
        <v>2</v>
      </c>
      <c r="H253" s="2">
        <v>8</v>
      </c>
      <c r="I253" s="2">
        <v>1</v>
      </c>
      <c r="J253" s="2">
        <f t="shared" si="14"/>
        <v>3</v>
      </c>
      <c r="K253" s="2">
        <v>36</v>
      </c>
      <c r="L253" s="2">
        <f t="shared" ref="L253:L265" si="16">H253+J253+K253</f>
        <v>47</v>
      </c>
      <c r="M253" s="8">
        <f t="shared" ref="M253:M265" si="17">J253/L253*100</f>
        <v>6.3829787234042552</v>
      </c>
    </row>
    <row r="254" spans="1:13" x14ac:dyDescent="0.25">
      <c r="A254" s="11" t="s">
        <v>19</v>
      </c>
      <c r="B254" s="12" t="s">
        <v>574</v>
      </c>
      <c r="C254" s="2">
        <v>46</v>
      </c>
      <c r="D254" s="2">
        <v>27</v>
      </c>
      <c r="E254" s="7" t="s">
        <v>575</v>
      </c>
      <c r="F254" s="2" t="s">
        <v>346</v>
      </c>
      <c r="G254" s="2">
        <v>4</v>
      </c>
      <c r="H254" s="2">
        <v>11</v>
      </c>
      <c r="I254" s="2">
        <v>6</v>
      </c>
      <c r="J254" s="2">
        <f t="shared" si="14"/>
        <v>10</v>
      </c>
      <c r="K254" s="2">
        <v>97</v>
      </c>
      <c r="L254" s="2">
        <f t="shared" si="16"/>
        <v>118</v>
      </c>
      <c r="M254" s="8">
        <f t="shared" si="17"/>
        <v>8.4745762711864394</v>
      </c>
    </row>
    <row r="255" spans="1:13" x14ac:dyDescent="0.25">
      <c r="A255" s="13" t="s">
        <v>26</v>
      </c>
      <c r="B255" s="13" t="s">
        <v>576</v>
      </c>
      <c r="C255" s="2">
        <v>46</v>
      </c>
      <c r="D255" s="2">
        <v>28</v>
      </c>
      <c r="E255" s="7" t="s">
        <v>577</v>
      </c>
      <c r="F255" s="2" t="s">
        <v>61</v>
      </c>
      <c r="G255" s="2">
        <v>3</v>
      </c>
      <c r="H255" s="2">
        <v>18</v>
      </c>
      <c r="I255" s="2">
        <v>9</v>
      </c>
      <c r="J255" s="2">
        <f t="shared" si="14"/>
        <v>12</v>
      </c>
      <c r="K255" s="2">
        <v>135</v>
      </c>
      <c r="L255" s="2">
        <f t="shared" si="16"/>
        <v>165</v>
      </c>
      <c r="M255" s="8">
        <f t="shared" si="17"/>
        <v>7.2727272727272725</v>
      </c>
    </row>
    <row r="256" spans="1:13" x14ac:dyDescent="0.25">
      <c r="A256" s="13" t="s">
        <v>26</v>
      </c>
      <c r="B256" s="13" t="s">
        <v>578</v>
      </c>
      <c r="C256" s="23">
        <v>46</v>
      </c>
      <c r="D256" s="23">
        <v>29</v>
      </c>
      <c r="E256" s="24" t="s">
        <v>579</v>
      </c>
      <c r="F256" s="2" t="s">
        <v>121</v>
      </c>
      <c r="G256" s="2">
        <v>4</v>
      </c>
      <c r="H256" s="2">
        <v>10</v>
      </c>
      <c r="I256" s="2">
        <v>1</v>
      </c>
      <c r="J256" s="2">
        <f t="shared" si="14"/>
        <v>5</v>
      </c>
      <c r="K256" s="2">
        <v>96</v>
      </c>
      <c r="L256" s="2">
        <f t="shared" si="16"/>
        <v>111</v>
      </c>
      <c r="M256" s="8">
        <f t="shared" si="17"/>
        <v>4.5045045045045047</v>
      </c>
    </row>
    <row r="257" spans="1:13" x14ac:dyDescent="0.25">
      <c r="A257" s="10" t="s">
        <v>15</v>
      </c>
      <c r="B257" s="10" t="s">
        <v>580</v>
      </c>
      <c r="C257" s="2">
        <v>46</v>
      </c>
      <c r="D257" s="2">
        <v>30</v>
      </c>
      <c r="E257" s="7" t="s">
        <v>581</v>
      </c>
      <c r="F257" s="2" t="s">
        <v>104</v>
      </c>
      <c r="G257" s="2">
        <v>2</v>
      </c>
      <c r="H257" s="2">
        <v>7</v>
      </c>
      <c r="I257" s="2">
        <v>2</v>
      </c>
      <c r="J257" s="2">
        <f t="shared" si="14"/>
        <v>4</v>
      </c>
      <c r="K257" s="2">
        <v>120</v>
      </c>
      <c r="L257" s="2">
        <f t="shared" si="16"/>
        <v>131</v>
      </c>
      <c r="M257" s="8">
        <f t="shared" si="17"/>
        <v>3.0534351145038165</v>
      </c>
    </row>
    <row r="258" spans="1:13" x14ac:dyDescent="0.25">
      <c r="A258" s="13" t="s">
        <v>26</v>
      </c>
      <c r="B258" s="13" t="s">
        <v>582</v>
      </c>
      <c r="C258" s="2">
        <v>46</v>
      </c>
      <c r="D258" s="2">
        <v>31</v>
      </c>
      <c r="E258" s="7" t="s">
        <v>583</v>
      </c>
      <c r="F258" s="2" t="s">
        <v>277</v>
      </c>
      <c r="G258" s="2">
        <v>3</v>
      </c>
      <c r="H258" s="2">
        <v>3</v>
      </c>
      <c r="I258" s="2">
        <v>3</v>
      </c>
      <c r="J258" s="2">
        <f t="shared" ref="J258:J265" si="18">G258+I258</f>
        <v>6</v>
      </c>
      <c r="K258" s="2">
        <v>60</v>
      </c>
      <c r="L258" s="2">
        <f t="shared" si="16"/>
        <v>69</v>
      </c>
      <c r="M258" s="8">
        <f t="shared" si="17"/>
        <v>8.695652173913043</v>
      </c>
    </row>
    <row r="259" spans="1:13" x14ac:dyDescent="0.25">
      <c r="A259" s="11" t="s">
        <v>19</v>
      </c>
      <c r="B259" s="12" t="s">
        <v>584</v>
      </c>
      <c r="C259" s="23">
        <v>46</v>
      </c>
      <c r="D259" s="23">
        <v>32</v>
      </c>
      <c r="E259" s="24" t="s">
        <v>585</v>
      </c>
      <c r="F259" s="2" t="s">
        <v>343</v>
      </c>
      <c r="G259" s="2">
        <v>3</v>
      </c>
      <c r="H259" s="2">
        <v>13</v>
      </c>
      <c r="I259" s="2">
        <v>9</v>
      </c>
      <c r="J259" s="2">
        <f t="shared" si="18"/>
        <v>12</v>
      </c>
      <c r="K259" s="2">
        <v>126</v>
      </c>
      <c r="L259" s="2">
        <f t="shared" si="16"/>
        <v>151</v>
      </c>
      <c r="M259" s="8">
        <f t="shared" si="17"/>
        <v>7.9470198675496695</v>
      </c>
    </row>
    <row r="260" spans="1:13" x14ac:dyDescent="0.25">
      <c r="A260" s="11" t="s">
        <v>19</v>
      </c>
      <c r="B260" s="12" t="s">
        <v>586</v>
      </c>
      <c r="C260" s="23">
        <v>46</v>
      </c>
      <c r="D260" s="23">
        <v>33</v>
      </c>
      <c r="E260" s="24" t="s">
        <v>587</v>
      </c>
      <c r="F260" s="2" t="s">
        <v>269</v>
      </c>
      <c r="G260" s="2">
        <v>5</v>
      </c>
      <c r="H260" s="2">
        <v>14</v>
      </c>
      <c r="I260" s="2">
        <v>6</v>
      </c>
      <c r="J260" s="2">
        <f t="shared" si="18"/>
        <v>11</v>
      </c>
      <c r="K260" s="2">
        <v>129</v>
      </c>
      <c r="L260" s="2">
        <f t="shared" si="16"/>
        <v>154</v>
      </c>
      <c r="M260" s="8">
        <f t="shared" si="17"/>
        <v>7.1428571428571423</v>
      </c>
    </row>
    <row r="261" spans="1:13" x14ac:dyDescent="0.25">
      <c r="A261" s="13" t="s">
        <v>26</v>
      </c>
      <c r="B261" s="13" t="s">
        <v>588</v>
      </c>
      <c r="C261" s="23">
        <v>46</v>
      </c>
      <c r="D261" s="23">
        <v>34</v>
      </c>
      <c r="E261" s="24" t="s">
        <v>589</v>
      </c>
      <c r="F261" s="2" t="s">
        <v>214</v>
      </c>
      <c r="G261" s="2">
        <v>6</v>
      </c>
      <c r="H261" s="2">
        <v>11</v>
      </c>
      <c r="I261" s="2">
        <v>8</v>
      </c>
      <c r="J261" s="2">
        <f t="shared" si="18"/>
        <v>14</v>
      </c>
      <c r="K261" s="2">
        <v>163</v>
      </c>
      <c r="L261" s="2">
        <f t="shared" si="16"/>
        <v>188</v>
      </c>
      <c r="M261" s="8">
        <f t="shared" si="17"/>
        <v>7.4468085106382977</v>
      </c>
    </row>
    <row r="262" spans="1:13" x14ac:dyDescent="0.25">
      <c r="A262" s="11" t="s">
        <v>19</v>
      </c>
      <c r="B262" s="12" t="s">
        <v>590</v>
      </c>
      <c r="C262" s="23">
        <v>46</v>
      </c>
      <c r="D262" s="23">
        <v>35</v>
      </c>
      <c r="E262" s="24" t="s">
        <v>591</v>
      </c>
      <c r="F262" s="2" t="s">
        <v>260</v>
      </c>
      <c r="G262" s="2">
        <v>3</v>
      </c>
      <c r="H262" s="2">
        <v>24</v>
      </c>
      <c r="I262" s="2">
        <v>2</v>
      </c>
      <c r="J262" s="2">
        <f t="shared" si="18"/>
        <v>5</v>
      </c>
      <c r="K262" s="2">
        <v>111</v>
      </c>
      <c r="L262" s="2">
        <f t="shared" si="16"/>
        <v>140</v>
      </c>
      <c r="M262" s="8">
        <f t="shared" si="17"/>
        <v>3.5714285714285712</v>
      </c>
    </row>
    <row r="263" spans="1:13" x14ac:dyDescent="0.25">
      <c r="A263" s="21" t="s">
        <v>180</v>
      </c>
      <c r="B263" s="21" t="s">
        <v>592</v>
      </c>
      <c r="C263" s="2">
        <v>46</v>
      </c>
      <c r="D263" s="2">
        <v>36</v>
      </c>
      <c r="E263" s="7" t="s">
        <v>593</v>
      </c>
      <c r="F263" s="2" t="s">
        <v>202</v>
      </c>
      <c r="G263" s="2">
        <v>1</v>
      </c>
      <c r="H263" s="2">
        <v>16</v>
      </c>
      <c r="I263" s="2">
        <v>4</v>
      </c>
      <c r="J263" s="2">
        <f t="shared" si="18"/>
        <v>5</v>
      </c>
      <c r="K263" s="2">
        <v>154</v>
      </c>
      <c r="L263" s="2">
        <f t="shared" si="16"/>
        <v>175</v>
      </c>
      <c r="M263" s="8">
        <f t="shared" si="17"/>
        <v>2.8571428571428572</v>
      </c>
    </row>
    <row r="264" spans="1:13" x14ac:dyDescent="0.25">
      <c r="A264" s="11" t="s">
        <v>19</v>
      </c>
      <c r="B264" s="12" t="s">
        <v>594</v>
      </c>
      <c r="C264" s="23">
        <v>46</v>
      </c>
      <c r="D264" s="23">
        <v>37</v>
      </c>
      <c r="E264" s="24" t="s">
        <v>595</v>
      </c>
      <c r="F264" s="2" t="s">
        <v>374</v>
      </c>
      <c r="G264" s="2">
        <v>6</v>
      </c>
      <c r="H264" s="2">
        <v>6</v>
      </c>
      <c r="I264" s="2">
        <v>6</v>
      </c>
      <c r="J264" s="2">
        <f t="shared" si="18"/>
        <v>12</v>
      </c>
      <c r="K264" s="2">
        <v>51</v>
      </c>
      <c r="L264" s="2">
        <f t="shared" si="16"/>
        <v>69</v>
      </c>
      <c r="M264" s="8">
        <f t="shared" si="17"/>
        <v>17.391304347826086</v>
      </c>
    </row>
    <row r="265" spans="1:13" x14ac:dyDescent="0.25">
      <c r="A265" s="11" t="s">
        <v>19</v>
      </c>
      <c r="B265" s="12" t="s">
        <v>596</v>
      </c>
      <c r="C265" s="23">
        <v>46</v>
      </c>
      <c r="D265" s="23">
        <v>38</v>
      </c>
      <c r="E265" s="24" t="s">
        <v>597</v>
      </c>
      <c r="F265" s="2" t="s">
        <v>166</v>
      </c>
      <c r="G265" s="2">
        <v>5</v>
      </c>
      <c r="H265" s="2">
        <v>11</v>
      </c>
      <c r="I265" s="2">
        <v>9</v>
      </c>
      <c r="J265" s="2">
        <f t="shared" si="18"/>
        <v>14</v>
      </c>
      <c r="K265" s="2">
        <v>30</v>
      </c>
      <c r="L265" s="2">
        <f t="shared" si="16"/>
        <v>55</v>
      </c>
      <c r="M265" s="8">
        <f t="shared" si="17"/>
        <v>25.454545454545453</v>
      </c>
    </row>
  </sheetData>
  <conditionalFormatting sqref="A62:E91 A182:A247">
    <cfRule type="containsText" dxfId="302" priority="186" operator="containsText" text="M51">
      <formula>NOT(ISERROR(SEARCH("M51",A62)))</formula>
    </cfRule>
    <cfRule type="containsText" dxfId="301" priority="185" operator="containsText" text="M52">
      <formula>NOT(ISERROR(SEARCH("M52",A62)))</formula>
    </cfRule>
    <cfRule type="containsText" dxfId="300" priority="184" operator="containsText" text="M53">
      <formula>NOT(ISERROR(SEARCH("M53",A62)))</formula>
    </cfRule>
    <cfRule type="containsText" dxfId="299" priority="183" operator="containsText" text="M54">
      <formula>NOT(ISERROR(SEARCH("M54",A62)))</formula>
    </cfRule>
    <cfRule type="containsText" dxfId="298" priority="182" operator="containsText" text="M55">
      <formula>NOT(ISERROR(SEARCH("M55",A62)))</formula>
    </cfRule>
    <cfRule type="containsText" dxfId="297" priority="181" operator="containsText" text="M56">
      <formula>NOT(ISERROR(SEARCH("M56",A62)))</formula>
    </cfRule>
    <cfRule type="containsText" dxfId="296" priority="180" operator="containsText" text="M57">
      <formula>NOT(ISERROR(SEARCH("M57",A62)))</formula>
    </cfRule>
    <cfRule type="containsText" dxfId="295" priority="179" operator="containsText" text="M58">
      <formula>NOT(ISERROR(SEARCH("M58",A62)))</formula>
    </cfRule>
    <cfRule type="containsText" dxfId="294" priority="178" operator="containsText" text="M59">
      <formula>NOT(ISERROR(SEARCH("M59",A62)))</formula>
    </cfRule>
    <cfRule type="containsText" dxfId="293" priority="177" operator="containsText" text="M60">
      <formula>NOT(ISERROR(SEARCH("M60",A62)))</formula>
    </cfRule>
  </conditionalFormatting>
  <conditionalFormatting sqref="F1:F31">
    <cfRule type="containsText" dxfId="292" priority="333" stopIfTrue="1" operator="containsText" text="M1">
      <formula>NOT(ISERROR(SEARCH("M1",F1)))</formula>
    </cfRule>
    <cfRule type="containsText" dxfId="291" priority="324" operator="containsText" text="M9">
      <formula>NOT(ISERROR(SEARCH("M9",F1)))</formula>
    </cfRule>
    <cfRule type="containsText" dxfId="290" priority="325" operator="containsText" text="M8">
      <formula>NOT(ISERROR(SEARCH("M8",F1)))</formula>
    </cfRule>
    <cfRule type="containsText" dxfId="289" priority="326" operator="containsText" text="M7">
      <formula>NOT(ISERROR(SEARCH("M7",F1)))</formula>
    </cfRule>
    <cfRule type="containsText" dxfId="288" priority="327" operator="containsText" text="M6">
      <formula>NOT(ISERROR(SEARCH("M6",F1)))</formula>
    </cfRule>
    <cfRule type="containsText" dxfId="287" priority="328" operator="containsText" text="M5">
      <formula>NOT(ISERROR(SEARCH("M5",F1)))</formula>
    </cfRule>
    <cfRule type="containsText" dxfId="286" priority="329" operator="containsText" text="M4">
      <formula>NOT(ISERROR(SEARCH("M4",F1)))</formula>
    </cfRule>
    <cfRule type="containsText" dxfId="285" priority="330" operator="containsText" text="M3">
      <formula>NOT(ISERROR(SEARCH("M3",F1)))</formula>
    </cfRule>
    <cfRule type="containsText" dxfId="284" priority="331" operator="containsText" text="M2">
      <formula>NOT(ISERROR(SEARCH("M2",F1)))</formula>
    </cfRule>
    <cfRule type="containsText" dxfId="283" priority="332" operator="containsText" text="M10">
      <formula>NOT(ISERROR(SEARCH("M10",F1)))</formula>
    </cfRule>
  </conditionalFormatting>
  <conditionalFormatting sqref="F32:F181">
    <cfRule type="containsText" dxfId="282" priority="206" stopIfTrue="1" operator="containsText" text="M11">
      <formula>NOT(ISERROR(SEARCH("M11",F32)))</formula>
    </cfRule>
    <cfRule type="containsText" dxfId="281" priority="205" operator="containsText" text="M12">
      <formula>NOT(ISERROR(SEARCH("M12",F32)))</formula>
    </cfRule>
    <cfRule type="containsText" dxfId="280" priority="204" operator="containsText" text="M13">
      <formula>NOT(ISERROR(SEARCH("M13",F32)))</formula>
    </cfRule>
    <cfRule type="containsText" dxfId="279" priority="203" operator="containsText" text="M14">
      <formula>NOT(ISERROR(SEARCH("M14",F32)))</formula>
    </cfRule>
    <cfRule type="containsText" dxfId="278" priority="202" operator="containsText" text="M15">
      <formula>NOT(ISERROR(SEARCH("M15",F32)))</formula>
    </cfRule>
    <cfRule type="containsText" dxfId="277" priority="201" operator="containsText" text="M16">
      <formula>NOT(ISERROR(SEARCH("M16",F32)))</formula>
    </cfRule>
    <cfRule type="containsText" dxfId="276" priority="200" operator="containsText" text="M17">
      <formula>NOT(ISERROR(SEARCH("M17",F32)))</formula>
    </cfRule>
    <cfRule type="containsText" dxfId="275" priority="198" stopIfTrue="1" operator="containsText" text="M19">
      <formula>NOT(ISERROR(SEARCH("M19",F32)))</formula>
    </cfRule>
    <cfRule type="containsText" dxfId="274" priority="197" operator="containsText" text="M20">
      <formula>NOT(ISERROR(SEARCH("M20",F32)))</formula>
    </cfRule>
    <cfRule type="containsText" dxfId="273" priority="199" operator="containsText" text="M18">
      <formula>NOT(ISERROR(SEARCH("M18",F32)))</formula>
    </cfRule>
  </conditionalFormatting>
  <conditionalFormatting sqref="F62:F181">
    <cfRule type="containsText" dxfId="272" priority="263" operator="containsText" text="M52">
      <formula>NOT(ISERROR(SEARCH("M52",F62)))</formula>
    </cfRule>
    <cfRule type="containsText" dxfId="271" priority="262" operator="containsText" text="M53">
      <formula>NOT(ISERROR(SEARCH("M53",F62)))</formula>
    </cfRule>
    <cfRule type="containsText" dxfId="270" priority="261" operator="containsText" text="M54">
      <formula>NOT(ISERROR(SEARCH("M54",F62)))</formula>
    </cfRule>
    <cfRule type="containsText" dxfId="269" priority="260" operator="containsText" text="M55">
      <formula>NOT(ISERROR(SEARCH("M55",F62)))</formula>
    </cfRule>
    <cfRule type="containsText" dxfId="268" priority="259" operator="containsText" text="M56">
      <formula>NOT(ISERROR(SEARCH("M56",F62)))</formula>
    </cfRule>
    <cfRule type="containsText" dxfId="267" priority="258" operator="containsText" text="M57">
      <formula>NOT(ISERROR(SEARCH("M57",F62)))</formula>
    </cfRule>
    <cfRule type="containsText" dxfId="266" priority="257" operator="containsText" text="M58">
      <formula>NOT(ISERROR(SEARCH("M58",F62)))</formula>
    </cfRule>
    <cfRule type="containsText" dxfId="265" priority="256" operator="containsText" text="M59">
      <formula>NOT(ISERROR(SEARCH("M59",F62)))</formula>
    </cfRule>
    <cfRule type="containsText" dxfId="264" priority="239" operator="containsText" text="M36">
      <formula>NOT(ISERROR(SEARCH("M36",F62)))</formula>
    </cfRule>
    <cfRule type="containsText" dxfId="263" priority="255" operator="containsText" text="M60">
      <formula>NOT(ISERROR(SEARCH("M60",F62)))</formula>
    </cfRule>
    <cfRule type="containsText" dxfId="262" priority="254" stopIfTrue="1" operator="containsText" text="M1">
      <formula>NOT(ISERROR(SEARCH("M1",F62)))</formula>
    </cfRule>
    <cfRule type="containsText" dxfId="261" priority="253" operator="containsText" text="M10">
      <formula>NOT(ISERROR(SEARCH("M10",F62)))</formula>
    </cfRule>
    <cfRule type="containsText" dxfId="260" priority="252" operator="containsText" text="M2">
      <formula>NOT(ISERROR(SEARCH("M2",F62)))</formula>
    </cfRule>
    <cfRule type="containsText" dxfId="259" priority="251" operator="containsText" text="M3">
      <formula>NOT(ISERROR(SEARCH("M3",F62)))</formula>
    </cfRule>
    <cfRule type="containsText" dxfId="258" priority="250" operator="containsText" text="M4">
      <formula>NOT(ISERROR(SEARCH("M4",F62)))</formula>
    </cfRule>
    <cfRule type="containsText" dxfId="257" priority="249" operator="containsText" text="M5">
      <formula>NOT(ISERROR(SEARCH("M5",F62)))</formula>
    </cfRule>
    <cfRule type="containsText" dxfId="256" priority="248" operator="containsText" text="M6">
      <formula>NOT(ISERROR(SEARCH("M6",F62)))</formula>
    </cfRule>
    <cfRule type="containsText" dxfId="255" priority="247" operator="containsText" text="M7">
      <formula>NOT(ISERROR(SEARCH("M7",F62)))</formula>
    </cfRule>
    <cfRule type="containsText" dxfId="254" priority="246" operator="containsText" text="M8">
      <formula>NOT(ISERROR(SEARCH("M8",F62)))</formula>
    </cfRule>
    <cfRule type="containsText" dxfId="253" priority="245" operator="containsText" text="M9">
      <formula>NOT(ISERROR(SEARCH("M9",F62)))</formula>
    </cfRule>
    <cfRule type="containsText" dxfId="252" priority="244" operator="containsText" text="M31">
      <formula>NOT(ISERROR(SEARCH("M31",F62)))</formula>
    </cfRule>
    <cfRule type="containsText" dxfId="251" priority="243" operator="containsText" text="M32">
      <formula>NOT(ISERROR(SEARCH("M32",F62)))</formula>
    </cfRule>
    <cfRule type="containsText" dxfId="250" priority="242" operator="containsText" text="M33">
      <formula>NOT(ISERROR(SEARCH("M33",F62)))</formula>
    </cfRule>
    <cfRule type="containsText" dxfId="249" priority="241" operator="containsText" text="M34">
      <formula>NOT(ISERROR(SEARCH("M34",F62)))</formula>
    </cfRule>
    <cfRule type="containsText" dxfId="248" priority="240" operator="containsText" text="M35">
      <formula>NOT(ISERROR(SEARCH("M35",F62)))</formula>
    </cfRule>
    <cfRule type="containsText" dxfId="247" priority="238" operator="containsText" text="M37">
      <formula>NOT(ISERROR(SEARCH("M37",F62)))</formula>
    </cfRule>
    <cfRule type="containsText" dxfId="246" priority="237" operator="containsText" text="M38">
      <formula>NOT(ISERROR(SEARCH("M38",F62)))</formula>
    </cfRule>
    <cfRule type="containsText" dxfId="245" priority="236" operator="containsText" text="M39">
      <formula>NOT(ISERROR(SEARCH("M39",F62)))</formula>
    </cfRule>
    <cfRule type="containsText" dxfId="244" priority="235" operator="containsText" text="M41">
      <formula>NOT(ISERROR(SEARCH("M41",F62)))</formula>
    </cfRule>
    <cfRule type="containsText" dxfId="243" priority="234" operator="containsText" text="M42">
      <formula>NOT(ISERROR(SEARCH("M42",F62)))</formula>
    </cfRule>
    <cfRule type="containsText" dxfId="242" priority="233" operator="containsText" text="M43">
      <formula>NOT(ISERROR(SEARCH("M43",F62)))</formula>
    </cfRule>
    <cfRule type="containsText" dxfId="241" priority="232" operator="containsText" text="M44">
      <formula>NOT(ISERROR(SEARCH("M44",F62)))</formula>
    </cfRule>
    <cfRule type="containsText" dxfId="240" priority="231" operator="containsText" text="M45">
      <formula>NOT(ISERROR(SEARCH("M45",F62)))</formula>
    </cfRule>
    <cfRule type="containsText" dxfId="239" priority="230" operator="containsText" text="M46">
      <formula>NOT(ISERROR(SEARCH("M46",F62)))</formula>
    </cfRule>
    <cfRule type="containsText" dxfId="238" priority="229" operator="containsText" text="M47">
      <formula>NOT(ISERROR(SEARCH("M47",F62)))</formula>
    </cfRule>
    <cfRule type="containsText" dxfId="237" priority="228" operator="containsText" text="M48">
      <formula>NOT(ISERROR(SEARCH("M48",F62)))</formula>
    </cfRule>
    <cfRule type="containsText" dxfId="236" priority="227" operator="containsText" text="M49">
      <formula>NOT(ISERROR(SEARCH("M49",F62)))</formula>
    </cfRule>
    <cfRule type="containsText" dxfId="235" priority="226" operator="containsText" text="M50">
      <formula>NOT(ISERROR(SEARCH("M50",F62)))</formula>
    </cfRule>
    <cfRule type="containsText" dxfId="234" priority="225" stopIfTrue="1" operator="containsText" text="M1">
      <formula>NOT(ISERROR(SEARCH("M1",F62)))</formula>
    </cfRule>
    <cfRule type="containsText" dxfId="233" priority="224" operator="containsText" text="M10">
      <formula>NOT(ISERROR(SEARCH("M10",F62)))</formula>
    </cfRule>
    <cfRule type="containsText" dxfId="232" priority="223" operator="containsText" text="M2">
      <formula>NOT(ISERROR(SEARCH("M2",F62)))</formula>
    </cfRule>
    <cfRule type="containsText" dxfId="231" priority="222" operator="containsText" text="M3">
      <formula>NOT(ISERROR(SEARCH("M3",F62)))</formula>
    </cfRule>
    <cfRule type="containsText" dxfId="230" priority="221" operator="containsText" text="M4">
      <formula>NOT(ISERROR(SEARCH("M4",F62)))</formula>
    </cfRule>
    <cfRule type="containsText" dxfId="229" priority="220" operator="containsText" text="M5">
      <formula>NOT(ISERROR(SEARCH("M5",F62)))</formula>
    </cfRule>
    <cfRule type="containsText" dxfId="228" priority="219" operator="containsText" text="M6">
      <formula>NOT(ISERROR(SEARCH("M6",F62)))</formula>
    </cfRule>
    <cfRule type="containsText" dxfId="227" priority="218" operator="containsText" text="M7">
      <formula>NOT(ISERROR(SEARCH("M7",F62)))</formula>
    </cfRule>
    <cfRule type="containsText" dxfId="226" priority="217" operator="containsText" text="M8">
      <formula>NOT(ISERROR(SEARCH("M8",F62)))</formula>
    </cfRule>
    <cfRule type="containsText" dxfId="225" priority="216" operator="containsText" text="M9">
      <formula>NOT(ISERROR(SEARCH("M9",F62)))</formula>
    </cfRule>
    <cfRule type="containsText" dxfId="224" priority="215" operator="containsText" text="M31">
      <formula>NOT(ISERROR(SEARCH("M31",F62)))</formula>
    </cfRule>
    <cfRule type="containsText" dxfId="223" priority="214" operator="containsText" text="M32">
      <formula>NOT(ISERROR(SEARCH("M32",F62)))</formula>
    </cfRule>
    <cfRule type="containsText" dxfId="222" priority="213" operator="containsText" text="M33">
      <formula>NOT(ISERROR(SEARCH("M33",F62)))</formula>
    </cfRule>
    <cfRule type="containsText" dxfId="221" priority="212" operator="containsText" text="M34">
      <formula>NOT(ISERROR(SEARCH("M34",F62)))</formula>
    </cfRule>
    <cfRule type="containsText" dxfId="220" priority="211" operator="containsText" text="M35">
      <formula>NOT(ISERROR(SEARCH("M35",F62)))</formula>
    </cfRule>
    <cfRule type="containsText" dxfId="219" priority="210" operator="containsText" text="M36">
      <formula>NOT(ISERROR(SEARCH("M36",F62)))</formula>
    </cfRule>
    <cfRule type="containsText" dxfId="218" priority="209" operator="containsText" text="M37">
      <formula>NOT(ISERROR(SEARCH("M37",F62)))</formula>
    </cfRule>
    <cfRule type="containsText" dxfId="217" priority="208" operator="containsText" text="M38">
      <formula>NOT(ISERROR(SEARCH("M38",F62)))</formula>
    </cfRule>
    <cfRule type="containsText" dxfId="216" priority="207" operator="containsText" text="M39">
      <formula>NOT(ISERROR(SEARCH("M39",F62)))</formula>
    </cfRule>
    <cfRule type="containsText" dxfId="215" priority="293" stopIfTrue="1" operator="containsText" text="M1">
      <formula>NOT(ISERROR(SEARCH("M1",F62)))</formula>
    </cfRule>
    <cfRule type="containsText" dxfId="214" priority="292" operator="containsText" text="M10">
      <formula>NOT(ISERROR(SEARCH("M10",F62)))</formula>
    </cfRule>
    <cfRule type="containsText" dxfId="213" priority="291" operator="containsText" text="M2">
      <formula>NOT(ISERROR(SEARCH("M2",F62)))</formula>
    </cfRule>
    <cfRule type="containsText" dxfId="212" priority="290" operator="containsText" text="M3">
      <formula>NOT(ISERROR(SEARCH("M3",F62)))</formula>
    </cfRule>
    <cfRule type="containsText" dxfId="211" priority="289" operator="containsText" text="M4">
      <formula>NOT(ISERROR(SEARCH("M4",F62)))</formula>
    </cfRule>
    <cfRule type="containsText" dxfId="210" priority="288" operator="containsText" text="M5">
      <formula>NOT(ISERROR(SEARCH("M5",F62)))</formula>
    </cfRule>
    <cfRule type="containsText" dxfId="209" priority="287" operator="containsText" text="M6">
      <formula>NOT(ISERROR(SEARCH("M6",F62)))</formula>
    </cfRule>
    <cfRule type="containsText" dxfId="208" priority="286" operator="containsText" text="M7">
      <formula>NOT(ISERROR(SEARCH("M7",F62)))</formula>
    </cfRule>
    <cfRule type="containsText" dxfId="207" priority="285" operator="containsText" text="M8">
      <formula>NOT(ISERROR(SEARCH("M8",F62)))</formula>
    </cfRule>
    <cfRule type="containsText" dxfId="206" priority="196" operator="containsText" text="M21">
      <formula>NOT(ISERROR(SEARCH("M21",F62)))</formula>
    </cfRule>
    <cfRule type="containsText" dxfId="205" priority="195" operator="containsText" text="M22">
      <formula>NOT(ISERROR(SEARCH("M22",F62)))</formula>
    </cfRule>
    <cfRule type="containsText" dxfId="204" priority="194" operator="containsText" text="M23">
      <formula>NOT(ISERROR(SEARCH("M23",F62)))</formula>
    </cfRule>
    <cfRule type="containsText" dxfId="203" priority="193" operator="containsText" text="M24">
      <formula>NOT(ISERROR(SEARCH("M24",F62)))</formula>
    </cfRule>
    <cfRule type="containsText" dxfId="202" priority="192" operator="containsText" text="M25">
      <formula>NOT(ISERROR(SEARCH("M25",F62)))</formula>
    </cfRule>
    <cfRule type="containsText" dxfId="201" priority="191" operator="containsText" text="M26">
      <formula>NOT(ISERROR(SEARCH("M26",F62)))</formula>
    </cfRule>
    <cfRule type="containsText" dxfId="200" priority="190" operator="containsText" text="M27">
      <formula>NOT(ISERROR(SEARCH("M27",F62)))</formula>
    </cfRule>
    <cfRule type="containsText" dxfId="199" priority="189" operator="containsText" text="M28">
      <formula>NOT(ISERROR(SEARCH("M28",F62)))</formula>
    </cfRule>
    <cfRule type="containsText" dxfId="198" priority="188" operator="containsText" text="M29">
      <formula>NOT(ISERROR(SEARCH("M29",F62)))</formula>
    </cfRule>
    <cfRule type="containsText" dxfId="197" priority="187" operator="containsText" text="M30">
      <formula>NOT(ISERROR(SEARCH("M30",F62)))</formula>
    </cfRule>
    <cfRule type="containsText" dxfId="196" priority="284" operator="containsText" text="M9">
      <formula>NOT(ISERROR(SEARCH("M9",F62)))</formula>
    </cfRule>
    <cfRule type="containsText" dxfId="195" priority="283" operator="containsText" text="M31">
      <formula>NOT(ISERROR(SEARCH("M31",F62)))</formula>
    </cfRule>
    <cfRule type="containsText" dxfId="194" priority="282" operator="containsText" text="M32">
      <formula>NOT(ISERROR(SEARCH("M32",F62)))</formula>
    </cfRule>
    <cfRule type="containsText" dxfId="193" priority="281" operator="containsText" text="M33">
      <formula>NOT(ISERROR(SEARCH("M33",F62)))</formula>
    </cfRule>
    <cfRule type="containsText" dxfId="192" priority="280" operator="containsText" text="M34">
      <formula>NOT(ISERROR(SEARCH("M34",F62)))</formula>
    </cfRule>
    <cfRule type="containsText" dxfId="191" priority="279" operator="containsText" text="M35">
      <formula>NOT(ISERROR(SEARCH("M35",F62)))</formula>
    </cfRule>
    <cfRule type="containsText" dxfId="190" priority="278" operator="containsText" text="M36">
      <formula>NOT(ISERROR(SEARCH("M36",F62)))</formula>
    </cfRule>
    <cfRule type="containsText" dxfId="189" priority="277" operator="containsText" text="M37">
      <formula>NOT(ISERROR(SEARCH("M37",F62)))</formula>
    </cfRule>
    <cfRule type="containsText" dxfId="188" priority="275" operator="containsText" text="M39">
      <formula>NOT(ISERROR(SEARCH("M39",F62)))</formula>
    </cfRule>
    <cfRule type="containsText" dxfId="187" priority="274" operator="containsText" text="M41">
      <formula>NOT(ISERROR(SEARCH("M41",F62)))</formula>
    </cfRule>
    <cfRule type="containsText" dxfId="186" priority="273" operator="containsText" text="M42">
      <formula>NOT(ISERROR(SEARCH("M42",F62)))</formula>
    </cfRule>
    <cfRule type="containsText" dxfId="185" priority="304" operator="containsText" text="M9">
      <formula>NOT(ISERROR(SEARCH("M9",F62)))</formula>
    </cfRule>
    <cfRule type="containsText" dxfId="184" priority="305" operator="containsText" text="M8">
      <formula>NOT(ISERROR(SEARCH("M8",F62)))</formula>
    </cfRule>
    <cfRule type="containsText" dxfId="183" priority="306" operator="containsText" text="M7">
      <formula>NOT(ISERROR(SEARCH("M7",F62)))</formula>
    </cfRule>
    <cfRule type="containsText" dxfId="182" priority="307" operator="containsText" text="M6">
      <formula>NOT(ISERROR(SEARCH("M6",F62)))</formula>
    </cfRule>
    <cfRule type="containsText" dxfId="181" priority="308" operator="containsText" text="M5">
      <formula>NOT(ISERROR(SEARCH("M5",F62)))</formula>
    </cfRule>
    <cfRule type="containsText" dxfId="180" priority="309" operator="containsText" text="M4">
      <formula>NOT(ISERROR(SEARCH("M4",F62)))</formula>
    </cfRule>
    <cfRule type="containsText" dxfId="179" priority="310" operator="containsText" text="M3">
      <formula>NOT(ISERROR(SEARCH("M3",F62)))</formula>
    </cfRule>
    <cfRule type="containsText" dxfId="178" priority="311" operator="containsText" text="M2">
      <formula>NOT(ISERROR(SEARCH("M2",F62)))</formula>
    </cfRule>
    <cfRule type="containsText" dxfId="177" priority="312" operator="containsText" text="M10">
      <formula>NOT(ISERROR(SEARCH("M10",F62)))</formula>
    </cfRule>
    <cfRule type="containsText" dxfId="176" priority="313" stopIfTrue="1" operator="containsText" text="M1">
      <formula>NOT(ISERROR(SEARCH("M1",F62)))</formula>
    </cfRule>
    <cfRule type="containsText" dxfId="175" priority="272" operator="containsText" text="M43">
      <formula>NOT(ISERROR(SEARCH("M43",F62)))</formula>
    </cfRule>
    <cfRule type="containsText" dxfId="174" priority="271" operator="containsText" text="M44">
      <formula>NOT(ISERROR(SEARCH("M44",F62)))</formula>
    </cfRule>
    <cfRule type="containsText" dxfId="173" priority="270" operator="containsText" text="M45">
      <formula>NOT(ISERROR(SEARCH("M45",F62)))</formula>
    </cfRule>
    <cfRule type="containsText" dxfId="172" priority="269" operator="containsText" text="M46">
      <formula>NOT(ISERROR(SEARCH("M46",F62)))</formula>
    </cfRule>
    <cfRule type="containsText" dxfId="171" priority="268" operator="containsText" text="M47">
      <formula>NOT(ISERROR(SEARCH("M47",F62)))</formula>
    </cfRule>
    <cfRule type="containsText" dxfId="170" priority="267" operator="containsText" text="M48">
      <formula>NOT(ISERROR(SEARCH("M48",F62)))</formula>
    </cfRule>
    <cfRule type="containsText" dxfId="169" priority="266" operator="containsText" text="M49">
      <formula>NOT(ISERROR(SEARCH("M49",F62)))</formula>
    </cfRule>
    <cfRule type="containsText" dxfId="168" priority="265" operator="containsText" text="M50">
      <formula>NOT(ISERROR(SEARCH("M50",F62)))</formula>
    </cfRule>
    <cfRule type="containsText" dxfId="167" priority="264" operator="containsText" text="M51">
      <formula>NOT(ISERROR(SEARCH("M51",F62)))</formula>
    </cfRule>
    <cfRule type="containsText" dxfId="166" priority="276" operator="containsText" text="M38">
      <formula>NOT(ISERROR(SEARCH("M38",F62)))</formula>
    </cfRule>
  </conditionalFormatting>
  <conditionalFormatting sqref="F182:F211">
    <cfRule type="containsText" dxfId="165" priority="148" operator="containsText" text="M50">
      <formula>NOT(ISERROR(SEARCH("M50",F182)))</formula>
    </cfRule>
    <cfRule type="containsText" dxfId="164" priority="149" operator="containsText" text="M49">
      <formula>NOT(ISERROR(SEARCH("M49",F182)))</formula>
    </cfRule>
    <cfRule type="containsText" dxfId="163" priority="150" operator="containsText" text="M48">
      <formula>NOT(ISERROR(SEARCH("M48",F182)))</formula>
    </cfRule>
    <cfRule type="containsText" dxfId="162" priority="151" operator="containsText" text="M47">
      <formula>NOT(ISERROR(SEARCH("M47",F182)))</formula>
    </cfRule>
    <cfRule type="containsText" dxfId="161" priority="152" operator="containsText" text="M46">
      <formula>NOT(ISERROR(SEARCH("M46",F182)))</formula>
    </cfRule>
    <cfRule type="containsText" dxfId="160" priority="153" operator="containsText" text="M45">
      <formula>NOT(ISERROR(SEARCH("M45",F182)))</formula>
    </cfRule>
    <cfRule type="containsText" dxfId="159" priority="154" operator="containsText" text="M44">
      <formula>NOT(ISERROR(SEARCH("M44",F182)))</formula>
    </cfRule>
    <cfRule type="containsText" dxfId="158" priority="155" operator="containsText" text="M43">
      <formula>NOT(ISERROR(SEARCH("M43",F182)))</formula>
    </cfRule>
    <cfRule type="containsText" dxfId="157" priority="156" operator="containsText" text="M42">
      <formula>NOT(ISERROR(SEARCH("M42",F182)))</formula>
    </cfRule>
    <cfRule type="containsText" dxfId="156" priority="157" operator="containsText" text="M41">
      <formula>NOT(ISERROR(SEARCH("M41",F182)))</formula>
    </cfRule>
    <cfRule type="containsText" dxfId="155" priority="158" operator="containsText" text="M39">
      <formula>NOT(ISERROR(SEARCH("M39",F182)))</formula>
    </cfRule>
    <cfRule type="containsText" dxfId="154" priority="159" operator="containsText" text="M38">
      <formula>NOT(ISERROR(SEARCH("M38",F182)))</formula>
    </cfRule>
    <cfRule type="containsText" dxfId="153" priority="160" operator="containsText" text="M37">
      <formula>NOT(ISERROR(SEARCH("M37",F182)))</formula>
    </cfRule>
    <cfRule type="containsText" dxfId="152" priority="161" operator="containsText" text="M36">
      <formula>NOT(ISERROR(SEARCH("M36",F182)))</formula>
    </cfRule>
    <cfRule type="containsText" dxfId="151" priority="162" operator="containsText" text="M35">
      <formula>NOT(ISERROR(SEARCH("M35",F182)))</formula>
    </cfRule>
    <cfRule type="containsText" dxfId="150" priority="163" operator="containsText" text="M34">
      <formula>NOT(ISERROR(SEARCH("M34",F182)))</formula>
    </cfRule>
    <cfRule type="containsText" dxfId="149" priority="164" operator="containsText" text="M33">
      <formula>NOT(ISERROR(SEARCH("M33",F182)))</formula>
    </cfRule>
    <cfRule type="containsText" dxfId="148" priority="165" operator="containsText" text="M32">
      <formula>NOT(ISERROR(SEARCH("M32",F182)))</formula>
    </cfRule>
    <cfRule type="containsText" dxfId="147" priority="166" operator="containsText" text="M31">
      <formula>NOT(ISERROR(SEARCH("M31",F182)))</formula>
    </cfRule>
    <cfRule type="containsText" dxfId="146" priority="167" operator="containsText" text="M9">
      <formula>NOT(ISERROR(SEARCH("M9",F182)))</formula>
    </cfRule>
    <cfRule type="containsText" dxfId="145" priority="168" operator="containsText" text="M8">
      <formula>NOT(ISERROR(SEARCH("M8",F182)))</formula>
    </cfRule>
    <cfRule type="containsText" dxfId="144" priority="169" operator="containsText" text="M7">
      <formula>NOT(ISERROR(SEARCH("M7",F182)))</formula>
    </cfRule>
    <cfRule type="containsText" dxfId="143" priority="170" operator="containsText" text="M6">
      <formula>NOT(ISERROR(SEARCH("M6",F182)))</formula>
    </cfRule>
    <cfRule type="containsText" dxfId="142" priority="171" operator="containsText" text="M5">
      <formula>NOT(ISERROR(SEARCH("M5",F182)))</formula>
    </cfRule>
    <cfRule type="containsText" dxfId="141" priority="172" operator="containsText" text="M4">
      <formula>NOT(ISERROR(SEARCH("M4",F182)))</formula>
    </cfRule>
    <cfRule type="containsText" dxfId="140" priority="173" operator="containsText" text="M3">
      <formula>NOT(ISERROR(SEARCH("M3",F182)))</formula>
    </cfRule>
    <cfRule type="containsText" dxfId="139" priority="174" operator="containsText" text="M2">
      <formula>NOT(ISERROR(SEARCH("M2",F182)))</formula>
    </cfRule>
    <cfRule type="containsText" dxfId="138" priority="175" operator="containsText" text="M10">
      <formula>NOT(ISERROR(SEARCH("M10",F182)))</formula>
    </cfRule>
    <cfRule type="containsText" dxfId="137" priority="176" stopIfTrue="1" operator="containsText" text="M1">
      <formula>NOT(ISERROR(SEARCH("M1",F182)))</formula>
    </cfRule>
    <cfRule type="containsText" dxfId="136" priority="128" operator="containsText" text="M70">
      <formula>NOT(ISERROR(SEARCH("M70",F182)))</formula>
    </cfRule>
    <cfRule type="containsText" dxfId="135" priority="129" operator="containsText" text="M69">
      <formula>NOT(ISERROR(SEARCH("M69",F182)))</formula>
    </cfRule>
    <cfRule type="containsText" dxfId="134" priority="130" operator="containsText" text="M68">
      <formula>NOT(ISERROR(SEARCH("M68",F182)))</formula>
    </cfRule>
    <cfRule type="containsText" dxfId="133" priority="131" operator="containsText" text="M67">
      <formula>NOT(ISERROR(SEARCH("M67",F182)))</formula>
    </cfRule>
    <cfRule type="containsText" dxfId="132" priority="132" operator="containsText" text="M66">
      <formula>NOT(ISERROR(SEARCH("M66",F182)))</formula>
    </cfRule>
    <cfRule type="containsText" dxfId="131" priority="133" operator="containsText" text="M65">
      <formula>NOT(ISERROR(SEARCH("M65",F182)))</formula>
    </cfRule>
    <cfRule type="containsText" dxfId="130" priority="134" operator="containsText" text="M64">
      <formula>NOT(ISERROR(SEARCH("M64",F182)))</formula>
    </cfRule>
    <cfRule type="containsText" dxfId="129" priority="135" operator="containsText" text="M63">
      <formula>NOT(ISERROR(SEARCH("M63",F182)))</formula>
    </cfRule>
    <cfRule type="containsText" dxfId="128" priority="136" operator="containsText" text="M62">
      <formula>NOT(ISERROR(SEARCH("M62",F182)))</formula>
    </cfRule>
    <cfRule type="containsText" dxfId="127" priority="137" operator="containsText" text="M61">
      <formula>NOT(ISERROR(SEARCH("M61",F182)))</formula>
    </cfRule>
    <cfRule type="containsText" dxfId="126" priority="138" operator="containsText" text="M60">
      <formula>NOT(ISERROR(SEARCH("M60",F182)))</formula>
    </cfRule>
    <cfRule type="containsText" dxfId="125" priority="139" operator="containsText" text="M59">
      <formula>NOT(ISERROR(SEARCH("M59",F182)))</formula>
    </cfRule>
    <cfRule type="containsText" dxfId="124" priority="140" operator="containsText" text="M58">
      <formula>NOT(ISERROR(SEARCH("M58",F182)))</formula>
    </cfRule>
    <cfRule type="containsText" dxfId="123" priority="141" operator="containsText" text="M57">
      <formula>NOT(ISERROR(SEARCH("M57",F182)))</formula>
    </cfRule>
    <cfRule type="containsText" dxfId="122" priority="142" operator="containsText" text="M56">
      <formula>NOT(ISERROR(SEARCH("M56",F182)))</formula>
    </cfRule>
    <cfRule type="containsText" dxfId="121" priority="143" operator="containsText" text="M55">
      <formula>NOT(ISERROR(SEARCH("M55",F182)))</formula>
    </cfRule>
    <cfRule type="containsText" dxfId="120" priority="144" operator="containsText" text="M54">
      <formula>NOT(ISERROR(SEARCH("M54",F182)))</formula>
    </cfRule>
    <cfRule type="containsText" dxfId="119" priority="145" operator="containsText" text="M53">
      <formula>NOT(ISERROR(SEARCH("M53",F182)))</formula>
    </cfRule>
    <cfRule type="containsText" dxfId="118" priority="146" operator="containsText" text="M52">
      <formula>NOT(ISERROR(SEARCH("M52",F182)))</formula>
    </cfRule>
    <cfRule type="containsText" dxfId="117" priority="147" operator="containsText" text="M51">
      <formula>NOT(ISERROR(SEARCH("M51",F182)))</formula>
    </cfRule>
  </conditionalFormatting>
  <conditionalFormatting sqref="F212:F241">
    <cfRule type="containsText" dxfId="116" priority="106" operator="containsText" text="M10">
      <formula>NOT(ISERROR(SEARCH("M10",F212)))</formula>
    </cfRule>
    <cfRule type="containsText" dxfId="115" priority="105" operator="containsText" text="M2">
      <formula>NOT(ISERROR(SEARCH("M2",F212)))</formula>
    </cfRule>
    <cfRule type="containsText" dxfId="114" priority="98" operator="containsText" text="M9">
      <formula>NOT(ISERROR(SEARCH("M9",F212)))</formula>
    </cfRule>
    <cfRule type="containsText" dxfId="113" priority="104" operator="containsText" text="M3">
      <formula>NOT(ISERROR(SEARCH("M3",F212)))</formula>
    </cfRule>
    <cfRule type="containsText" dxfId="112" priority="103" operator="containsText" text="M4">
      <formula>NOT(ISERROR(SEARCH("M4",F212)))</formula>
    </cfRule>
    <cfRule type="containsText" dxfId="111" priority="102" operator="containsText" text="M5">
      <formula>NOT(ISERROR(SEARCH("M5",F212)))</formula>
    </cfRule>
    <cfRule type="containsText" dxfId="110" priority="101" operator="containsText" text="M6">
      <formula>NOT(ISERROR(SEARCH("M6",F212)))</formula>
    </cfRule>
    <cfRule type="containsText" dxfId="109" priority="100" operator="containsText" text="M7">
      <formula>NOT(ISERROR(SEARCH("M7",F212)))</formula>
    </cfRule>
    <cfRule type="containsText" dxfId="108" priority="99" operator="containsText" text="M8">
      <formula>NOT(ISERROR(SEARCH("M8",F212)))</formula>
    </cfRule>
    <cfRule type="containsText" dxfId="107" priority="107" stopIfTrue="1" operator="containsText" text="M1">
      <formula>NOT(ISERROR(SEARCH("M1",F212)))</formula>
    </cfRule>
  </conditionalFormatting>
  <conditionalFormatting sqref="F212:F247">
    <cfRule type="containsText" dxfId="106" priority="97" operator="containsText" text="M31">
      <formula>NOT(ISERROR(SEARCH("M31",F212)))</formula>
    </cfRule>
    <cfRule type="containsText" dxfId="105" priority="96" operator="containsText" text="M32">
      <formula>NOT(ISERROR(SEARCH("M32",F212)))</formula>
    </cfRule>
    <cfRule type="containsText" dxfId="104" priority="95" operator="containsText" text="M33">
      <formula>NOT(ISERROR(SEARCH("M33",F212)))</formula>
    </cfRule>
    <cfRule type="containsText" dxfId="103" priority="94" operator="containsText" text="M34">
      <formula>NOT(ISERROR(SEARCH("M34",F212)))</formula>
    </cfRule>
    <cfRule type="containsText" dxfId="102" priority="93" operator="containsText" text="M35">
      <formula>NOT(ISERROR(SEARCH("M35",F212)))</formula>
    </cfRule>
    <cfRule type="containsText" dxfId="101" priority="92" operator="containsText" text="M36">
      <formula>NOT(ISERROR(SEARCH("M36",F212)))</formula>
    </cfRule>
    <cfRule type="containsText" dxfId="100" priority="91" operator="containsText" text="M37">
      <formula>NOT(ISERROR(SEARCH("M37",F212)))</formula>
    </cfRule>
    <cfRule type="containsText" dxfId="99" priority="90" operator="containsText" text="M38">
      <formula>NOT(ISERROR(SEARCH("M38",F212)))</formula>
    </cfRule>
    <cfRule type="containsText" dxfId="98" priority="89" operator="containsText" text="M39">
      <formula>NOT(ISERROR(SEARCH("M39",F212)))</formula>
    </cfRule>
    <cfRule type="containsText" dxfId="97" priority="88" operator="containsText" text="M41">
      <formula>NOT(ISERROR(SEARCH("M41",F212)))</formula>
    </cfRule>
    <cfRule type="containsText" dxfId="96" priority="87" operator="containsText" text="M42">
      <formula>NOT(ISERROR(SEARCH("M42",F212)))</formula>
    </cfRule>
    <cfRule type="containsText" dxfId="95" priority="86" operator="containsText" text="M43">
      <formula>NOT(ISERROR(SEARCH("M43",F212)))</formula>
    </cfRule>
    <cfRule type="containsText" dxfId="94" priority="47" operator="containsText" text="M82">
      <formula>NOT(ISERROR(SEARCH("M82",F212)))</formula>
    </cfRule>
    <cfRule type="containsText" dxfId="93" priority="84" operator="containsText" text="M45">
      <formula>NOT(ISERROR(SEARCH("M45",F212)))</formula>
    </cfRule>
    <cfRule type="containsText" dxfId="92" priority="83" operator="containsText" text="M46">
      <formula>NOT(ISERROR(SEARCH("M46",F212)))</formula>
    </cfRule>
    <cfRule type="containsText" dxfId="91" priority="82" operator="containsText" text="M47">
      <formula>NOT(ISERROR(SEARCH("M47",F212)))</formula>
    </cfRule>
    <cfRule type="containsText" dxfId="90" priority="81" operator="containsText" text="M48">
      <formula>NOT(ISERROR(SEARCH("M48",F212)))</formula>
    </cfRule>
    <cfRule type="containsText" dxfId="89" priority="80" operator="containsText" text="M49">
      <formula>NOT(ISERROR(SEARCH("M49",F212)))</formula>
    </cfRule>
    <cfRule type="containsText" dxfId="88" priority="79" operator="containsText" text="M50">
      <formula>NOT(ISERROR(SEARCH("M50",F212)))</formula>
    </cfRule>
    <cfRule type="containsText" dxfId="87" priority="78" operator="containsText" text="M51">
      <formula>NOT(ISERROR(SEARCH("M51",F212)))</formula>
    </cfRule>
    <cfRule type="containsText" dxfId="86" priority="77" operator="containsText" text="M52">
      <formula>NOT(ISERROR(SEARCH("M52",F212)))</formula>
    </cfRule>
    <cfRule type="containsText" dxfId="85" priority="76" operator="containsText" text="M53">
      <formula>NOT(ISERROR(SEARCH("M53",F212)))</formula>
    </cfRule>
    <cfRule type="containsText" dxfId="84" priority="75" operator="containsText" text="M54">
      <formula>NOT(ISERROR(SEARCH("M54",F212)))</formula>
    </cfRule>
    <cfRule type="containsText" dxfId="83" priority="74" operator="containsText" text="M55">
      <formula>NOT(ISERROR(SEARCH("M55",F212)))</formula>
    </cfRule>
    <cfRule type="containsText" dxfId="82" priority="73" operator="containsText" text="M56">
      <formula>NOT(ISERROR(SEARCH("M56",F212)))</formula>
    </cfRule>
    <cfRule type="containsText" dxfId="81" priority="72" operator="containsText" text="M57">
      <formula>NOT(ISERROR(SEARCH("M57",F212)))</formula>
    </cfRule>
    <cfRule type="containsText" dxfId="80" priority="71" operator="containsText" text="M58">
      <formula>NOT(ISERROR(SEARCH("M58",F212)))</formula>
    </cfRule>
    <cfRule type="containsText" dxfId="79" priority="70" operator="containsText" text="M59">
      <formula>NOT(ISERROR(SEARCH("M59",F212)))</formula>
    </cfRule>
    <cfRule type="containsText" dxfId="78" priority="69" operator="containsText" text="M60">
      <formula>NOT(ISERROR(SEARCH("M60",F212)))</formula>
    </cfRule>
    <cfRule type="containsText" dxfId="77" priority="58" operator="containsText" text="M71">
      <formula>NOT(ISERROR(SEARCH("M71",F212)))</formula>
    </cfRule>
    <cfRule type="containsText" dxfId="76" priority="57" operator="containsText" text="M72">
      <formula>NOT(ISERROR(SEARCH("M72",F212)))</formula>
    </cfRule>
    <cfRule type="containsText" dxfId="75" priority="56" operator="containsText" text="M73">
      <formula>NOT(ISERROR(SEARCH("M73",F212)))</formula>
    </cfRule>
    <cfRule type="containsText" dxfId="74" priority="55" operator="containsText" text="M74">
      <formula>NOT(ISERROR(SEARCH("M74",F212)))</formula>
    </cfRule>
    <cfRule type="containsText" dxfId="73" priority="54" operator="containsText" text="M75">
      <formula>NOT(ISERROR(SEARCH("M75",F212)))</formula>
    </cfRule>
    <cfRule type="containsText" dxfId="72" priority="49" operator="containsText" text="M80">
      <formula>NOT(ISERROR(SEARCH("M80",F212)))</formula>
    </cfRule>
    <cfRule type="containsText" dxfId="71" priority="53" operator="containsText" text="M76">
      <formula>NOT(ISERROR(SEARCH("M76",F212)))</formula>
    </cfRule>
    <cfRule type="containsText" dxfId="70" priority="52" operator="containsText" text="M77">
      <formula>NOT(ISERROR(SEARCH("M77",F212)))</formula>
    </cfRule>
    <cfRule type="containsText" dxfId="69" priority="51" operator="containsText" text="M78">
      <formula>NOT(ISERROR(SEARCH("M78",F212)))</formula>
    </cfRule>
    <cfRule type="containsText" dxfId="68" priority="85" operator="containsText" text="M44">
      <formula>NOT(ISERROR(SEARCH("M44",F212)))</formula>
    </cfRule>
    <cfRule type="containsText" dxfId="67" priority="50" operator="containsText" text="M79">
      <formula>NOT(ISERROR(SEARCH("M79",F212)))</formula>
    </cfRule>
    <cfRule type="containsText" dxfId="66" priority="48" operator="containsText" text="M81">
      <formula>NOT(ISERROR(SEARCH("M81",F212)))</formula>
    </cfRule>
  </conditionalFormatting>
  <conditionalFormatting sqref="F242:F247">
    <cfRule type="containsText" dxfId="65" priority="66" operator="containsText" text="M2">
      <formula>NOT(ISERROR(SEARCH("M2",F242)))</formula>
    </cfRule>
    <cfRule type="containsText" dxfId="64" priority="65" operator="containsText" text="M3">
      <formula>NOT(ISERROR(SEARCH("M3",F242)))</formula>
    </cfRule>
    <cfRule type="containsText" dxfId="63" priority="64" operator="containsText" text="M4">
      <formula>NOT(ISERROR(SEARCH("M4",F242)))</formula>
    </cfRule>
    <cfRule type="containsText" dxfId="62" priority="62" operator="containsText" text="M6">
      <formula>NOT(ISERROR(SEARCH("M6",F242)))</formula>
    </cfRule>
    <cfRule type="containsText" dxfId="61" priority="61" operator="containsText" text="M7">
      <formula>NOT(ISERROR(SEARCH("M7",F242)))</formula>
    </cfRule>
    <cfRule type="containsText" dxfId="60" priority="60" operator="containsText" text="M8">
      <formula>NOT(ISERROR(SEARCH("M8",F242)))</formula>
    </cfRule>
    <cfRule type="containsText" dxfId="59" priority="59" operator="containsText" text="M9">
      <formula>NOT(ISERROR(SEARCH("M9",F242)))</formula>
    </cfRule>
    <cfRule type="containsText" dxfId="58" priority="63" operator="containsText" text="M5">
      <formula>NOT(ISERROR(SEARCH("M5",F242)))</formula>
    </cfRule>
    <cfRule type="containsText" dxfId="57" priority="125" operator="containsText" text="M13">
      <formula>NOT(ISERROR(SEARCH("M13",F242)))</formula>
    </cfRule>
    <cfRule type="containsText" dxfId="56" priority="68" stopIfTrue="1" operator="containsText" text="M1">
      <formula>NOT(ISERROR(SEARCH("M1",F242)))</formula>
    </cfRule>
    <cfRule type="containsText" dxfId="55" priority="67" operator="containsText" text="M10">
      <formula>NOT(ISERROR(SEARCH("M10",F242)))</formula>
    </cfRule>
    <cfRule type="containsText" dxfId="54" priority="127" stopIfTrue="1" operator="containsText" text="M11">
      <formula>NOT(ISERROR(SEARCH("M11",F242)))</formula>
    </cfRule>
    <cfRule type="containsText" dxfId="53" priority="126" operator="containsText" text="M12">
      <formula>NOT(ISERROR(SEARCH("M12",F242)))</formula>
    </cfRule>
    <cfRule type="containsText" dxfId="52" priority="124" operator="containsText" text="M14">
      <formula>NOT(ISERROR(SEARCH("M14",F242)))</formula>
    </cfRule>
    <cfRule type="containsText" dxfId="51" priority="123" operator="containsText" text="M15">
      <formula>NOT(ISERROR(SEARCH("M15",F242)))</formula>
    </cfRule>
    <cfRule type="containsText" dxfId="50" priority="122" operator="containsText" text="M16">
      <formula>NOT(ISERROR(SEARCH("M16",F242)))</formula>
    </cfRule>
    <cfRule type="containsText" dxfId="49" priority="121" operator="containsText" text="M17">
      <formula>NOT(ISERROR(SEARCH("M17",F242)))</formula>
    </cfRule>
    <cfRule type="containsText" dxfId="48" priority="120" operator="containsText" text="M18">
      <formula>NOT(ISERROR(SEARCH("M18",F242)))</formula>
    </cfRule>
    <cfRule type="containsText" dxfId="47" priority="119" stopIfTrue="1" operator="containsText" text="M19">
      <formula>NOT(ISERROR(SEARCH("M19",F242)))</formula>
    </cfRule>
    <cfRule type="containsText" dxfId="46" priority="118" operator="containsText" text="M20">
      <formula>NOT(ISERROR(SEARCH("M20",F242)))</formula>
    </cfRule>
    <cfRule type="containsText" dxfId="45" priority="117" operator="containsText" text="M21">
      <formula>NOT(ISERROR(SEARCH("M21",F242)))</formula>
    </cfRule>
    <cfRule type="containsText" dxfId="44" priority="116" operator="containsText" text="M22">
      <formula>NOT(ISERROR(SEARCH("M22",F242)))</formula>
    </cfRule>
    <cfRule type="containsText" dxfId="43" priority="115" operator="containsText" text="M23">
      <formula>NOT(ISERROR(SEARCH("M23",F242)))</formula>
    </cfRule>
    <cfRule type="containsText" dxfId="42" priority="114" operator="containsText" text="M24">
      <formula>NOT(ISERROR(SEARCH("M24",F242)))</formula>
    </cfRule>
    <cfRule type="containsText" dxfId="41" priority="113" operator="containsText" text="M25">
      <formula>NOT(ISERROR(SEARCH("M25",F242)))</formula>
    </cfRule>
    <cfRule type="containsText" dxfId="40" priority="112" operator="containsText" text="M26">
      <formula>NOT(ISERROR(SEARCH("M26",F242)))</formula>
    </cfRule>
    <cfRule type="containsText" dxfId="39" priority="111" operator="containsText" text="M27">
      <formula>NOT(ISERROR(SEARCH("M27",F242)))</formula>
    </cfRule>
    <cfRule type="containsText" dxfId="38" priority="110" operator="containsText" text="M28">
      <formula>NOT(ISERROR(SEARCH("M28",F242)))</formula>
    </cfRule>
    <cfRule type="containsText" dxfId="37" priority="109" operator="containsText" text="M29">
      <formula>NOT(ISERROR(SEARCH("M29",F242)))</formula>
    </cfRule>
    <cfRule type="containsText" dxfId="36" priority="108" operator="containsText" text="M30">
      <formula>NOT(ISERROR(SEARCH("M30",F242)))</formula>
    </cfRule>
  </conditionalFormatting>
  <conditionalFormatting sqref="F248:F265">
    <cfRule type="containsText" dxfId="35" priority="26" operator="containsText" text="M83">
      <formula>NOT(ISERROR(SEARCH("M83",F248)))</formula>
    </cfRule>
    <cfRule type="containsText" dxfId="34" priority="25" operator="containsText" text="M84">
      <formula>NOT(ISERROR(SEARCH("M84",F248)))</formula>
    </cfRule>
    <cfRule type="containsText" dxfId="33" priority="24" operator="containsText" text="M85">
      <formula>NOT(ISERROR(SEARCH("M85",F248)))</formula>
    </cfRule>
    <cfRule type="containsText" dxfId="32" priority="23" operator="containsText" text="M86">
      <formula>NOT(ISERROR(SEARCH("M86",F248)))</formula>
    </cfRule>
    <cfRule type="containsText" dxfId="31" priority="22" operator="containsText" text="M87">
      <formula>NOT(ISERROR(SEARCH("M87",F248)))</formula>
    </cfRule>
    <cfRule type="containsText" dxfId="30" priority="21" operator="containsText" text="M88">
      <formula>NOT(ISERROR(SEARCH("M88",F248)))</formula>
    </cfRule>
    <cfRule type="containsText" dxfId="29" priority="34" operator="containsText" text="M23">
      <formula>NOT(ISERROR(SEARCH("M23",F248)))</formula>
    </cfRule>
    <cfRule type="containsText" dxfId="28" priority="46" stopIfTrue="1" operator="containsText" text="M11">
      <formula>NOT(ISERROR(SEARCH("M11",F248)))</formula>
    </cfRule>
    <cfRule type="containsText" dxfId="27" priority="33" operator="containsText" text="M24">
      <formula>NOT(ISERROR(SEARCH("M24",F248)))</formula>
    </cfRule>
    <cfRule type="containsText" dxfId="26" priority="32" operator="containsText" text="M25">
      <formula>NOT(ISERROR(SEARCH("M25",F248)))</formula>
    </cfRule>
    <cfRule type="containsText" dxfId="25" priority="31" operator="containsText" text="M26">
      <formula>NOT(ISERROR(SEARCH("M26",F248)))</formula>
    </cfRule>
    <cfRule type="containsText" dxfId="24" priority="30" operator="containsText" text="M27">
      <formula>NOT(ISERROR(SEARCH("M27",F248)))</formula>
    </cfRule>
    <cfRule type="containsText" dxfId="23" priority="29" operator="containsText" text="M28">
      <formula>NOT(ISERROR(SEARCH("M28",F248)))</formula>
    </cfRule>
    <cfRule type="containsText" dxfId="22" priority="28" operator="containsText" text="M29">
      <formula>NOT(ISERROR(SEARCH("M29",F248)))</formula>
    </cfRule>
    <cfRule type="containsText" dxfId="21" priority="27" operator="containsText" text="M30">
      <formula>NOT(ISERROR(SEARCH("M30",F248)))</formula>
    </cfRule>
    <cfRule type="containsText" dxfId="20" priority="45" operator="containsText" text="M12">
      <formula>NOT(ISERROR(SEARCH("M12",F248)))</formula>
    </cfRule>
    <cfRule type="containsText" dxfId="19" priority="44" operator="containsText" text="M13">
      <formula>NOT(ISERROR(SEARCH("M13",F248)))</formula>
    </cfRule>
    <cfRule type="containsText" dxfId="18" priority="43" operator="containsText" text="M14">
      <formula>NOT(ISERROR(SEARCH("M14",F248)))</formula>
    </cfRule>
    <cfRule type="containsText" dxfId="17" priority="42" operator="containsText" text="M15">
      <formula>NOT(ISERROR(SEARCH("M15",F248)))</formula>
    </cfRule>
    <cfRule type="containsText" dxfId="16" priority="41" operator="containsText" text="M16">
      <formula>NOT(ISERROR(SEARCH("M16",F248)))</formula>
    </cfRule>
    <cfRule type="containsText" dxfId="15" priority="40" operator="containsText" text="M17">
      <formula>NOT(ISERROR(SEARCH("M17",F248)))</formula>
    </cfRule>
    <cfRule type="containsText" dxfId="14" priority="39" operator="containsText" text="M18">
      <formula>NOT(ISERROR(SEARCH("M18",F248)))</formula>
    </cfRule>
    <cfRule type="containsText" dxfId="13" priority="38" stopIfTrue="1" operator="containsText" text="M19">
      <formula>NOT(ISERROR(SEARCH("M19",F248)))</formula>
    </cfRule>
    <cfRule type="containsText" dxfId="12" priority="37" operator="containsText" text="M20">
      <formula>NOT(ISERROR(SEARCH("M20",F248)))</formula>
    </cfRule>
    <cfRule type="containsText" dxfId="11" priority="36" operator="containsText" text="M21">
      <formula>NOT(ISERROR(SEARCH("M21",F248)))</formula>
    </cfRule>
    <cfRule type="containsText" dxfId="10" priority="35" operator="containsText" text="M22">
      <formula>NOT(ISERROR(SEARCH("M22",F248)))</formula>
    </cfRule>
  </conditionalFormatting>
  <conditionalFormatting sqref="G75:I91">
    <cfRule type="containsText" dxfId="9" priority="10" operator="containsText" text="M51">
      <formula>NOT(ISERROR(SEARCH("M51",G75)))</formula>
    </cfRule>
    <cfRule type="containsText" dxfId="8" priority="8" operator="containsText" text="M53">
      <formula>NOT(ISERROR(SEARCH("M53",G75)))</formula>
    </cfRule>
    <cfRule type="containsText" dxfId="7" priority="7" operator="containsText" text="M54">
      <formula>NOT(ISERROR(SEARCH("M54",G75)))</formula>
    </cfRule>
    <cfRule type="containsText" dxfId="6" priority="6" operator="containsText" text="M55">
      <formula>NOT(ISERROR(SEARCH("M55",G75)))</formula>
    </cfRule>
    <cfRule type="containsText" dxfId="5" priority="5" operator="containsText" text="M56">
      <formula>NOT(ISERROR(SEARCH("M56",G75)))</formula>
    </cfRule>
    <cfRule type="containsText" dxfId="4" priority="4" operator="containsText" text="M57">
      <formula>NOT(ISERROR(SEARCH("M57",G75)))</formula>
    </cfRule>
    <cfRule type="containsText" dxfId="3" priority="3" operator="containsText" text="M58">
      <formula>NOT(ISERROR(SEARCH("M58",G75)))</formula>
    </cfRule>
    <cfRule type="containsText" dxfId="2" priority="2" operator="containsText" text="M59">
      <formula>NOT(ISERROR(SEARCH("M59",G75)))</formula>
    </cfRule>
    <cfRule type="containsText" dxfId="1" priority="1" operator="containsText" text="M60">
      <formula>NOT(ISERROR(SEARCH("M60",G75)))</formula>
    </cfRule>
    <cfRule type="containsText" dxfId="0" priority="9" operator="containsText" text="M52">
      <formula>NOT(ISERROR(SEARCH("M52",G75)))</formula>
    </cfRule>
  </conditionalFormatting>
  <pageMargins left="0.7" right="0.7" top="0.75" bottom="0.75" header="0.3" footer="0.3"/>
  <pageSetup orientation="portrait" r:id="rId1"/>
  <ignoredErrors>
    <ignoredError sqref="E3:E2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Lynn Marie Johnson</cp:lastModifiedBy>
  <dcterms:created xsi:type="dcterms:W3CDTF">2024-05-07T17:28:12Z</dcterms:created>
  <dcterms:modified xsi:type="dcterms:W3CDTF">2024-05-22T18:36:53Z</dcterms:modified>
</cp:coreProperties>
</file>